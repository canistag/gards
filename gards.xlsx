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_states" sheetId="1" r:id="rId5"/>
    <sheet state="visible" name="fact_costs" sheetId="2" r:id="rId6"/>
    <sheet state="visible" name="fact_metrics" sheetId="3" r:id="rId7"/>
    <sheet state="visible" name="ref_national" sheetId="4" r:id="rId8"/>
    <sheet state="visible" name="zscores" sheetId="5" r:id="rId9"/>
  </sheets>
  <definedNames>
    <definedName hidden="1" localSheetId="0" name="_xlnm._FilterDatabase">dim_states!$A$1:$F$51</definedName>
  </definedNames>
  <calcPr/>
</workbook>
</file>

<file path=xl/sharedStrings.xml><?xml version="1.0" encoding="utf-8"?>
<sst xmlns="http://schemas.openxmlformats.org/spreadsheetml/2006/main" count="445" uniqueCount="104">
  <si>
    <t>house price</t>
  </si>
  <si>
    <t>State</t>
  </si>
  <si>
    <t>mortgage monthly</t>
  </si>
  <si>
    <t>School Score</t>
  </si>
  <si>
    <t>mortgage yearly</t>
  </si>
  <si>
    <t>Violent Crime Rate per 100k (VCR)</t>
  </si>
  <si>
    <t>utility monthly</t>
  </si>
  <si>
    <t>utility yearly</t>
  </si>
  <si>
    <t>groceries yearly</t>
  </si>
  <si>
    <t>Alabama</t>
  </si>
  <si>
    <t>592 and roth</t>
  </si>
  <si>
    <t>cost to raise child</t>
  </si>
  <si>
    <t>cat yearly</t>
  </si>
  <si>
    <t>Alaska</t>
  </si>
  <si>
    <t>dog yearly</t>
  </si>
  <si>
    <t>home and expenses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</si>
  <si>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</si>
  <si>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</si>
  <si>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</si>
  <si>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</si>
  <si>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</si>
  <si>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</si>
  <si>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</si>
  <si>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</si>
  <si>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</si>
  <si>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</si>
  <si>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</si>
  <si>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</si>
  <si>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</si>
  <si>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</si>
  <si>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cost per child</t>
  </si>
  <si>
    <t>Kentucky</t>
  </si>
  <si>
    <t>Louisiana</t>
  </si>
  <si>
    <t>average house price</t>
  </si>
  <si>
    <t>monthly payment</t>
  </si>
  <si>
    <t>Maine</t>
  </si>
  <si>
    <t>yearly payment</t>
  </si>
  <si>
    <t>Maryland</t>
  </si>
  <si>
    <t>Utility / mo</t>
  </si>
  <si>
    <t>utility / year</t>
  </si>
  <si>
    <t>groceries / year</t>
  </si>
  <si>
    <t>cat / year</t>
  </si>
  <si>
    <t>dog / year</t>
  </si>
  <si>
    <t xml:space="preserve">house and expenses </t>
  </si>
  <si>
    <t>Massachusetts</t>
  </si>
  <si>
    <t>school score</t>
  </si>
  <si>
    <t>crime rate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</si>
  <si>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</si>
  <si>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</si>
  <si>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</si>
  <si>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</si>
  <si>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</si>
  <si>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</si>
  <si>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</si>
  <si>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</si>
  <si>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</si>
  <si>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</si>
  <si>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</si>
  <si>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</si>
  <si>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</si>
  <si>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</si>
  <si>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</si>
  <si>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</si>
  <si>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</si>
  <si>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</si>
  <si>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</si>
  <si>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</si>
  <si>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</si>
  <si>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</si>
  <si>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</si>
  <si>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</si>
  <si>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</si>
  <si>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</si>
  <si>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</si>
  <si>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</si>
  <si>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</si>
  <si>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standard deviations</t>
  </si>
  <si>
    <t>mean</t>
  </si>
  <si>
    <t>stdev</t>
  </si>
  <si>
    <t>state</t>
  </si>
  <si>
    <t>school z score</t>
  </si>
  <si>
    <t>vcr z score</t>
  </si>
  <si>
    <t>house and expenses</t>
  </si>
  <si>
    <t>composite</t>
  </si>
  <si>
    <t>composite school weighted</t>
  </si>
  <si>
    <t>composite cost weighted</t>
  </si>
  <si>
    <t>Region</t>
  </si>
  <si>
    <t>Safety</t>
  </si>
  <si>
    <t>Cost</t>
  </si>
  <si>
    <t>School</t>
  </si>
  <si>
    <t>Safety: Safe &lt; 250, Moderate 250–450, Unsafe &gt; 450 (VCR per 100k)</t>
  </si>
  <si>
    <t>Northeast</t>
  </si>
  <si>
    <t>Safe</t>
  </si>
  <si>
    <t>Expensive</t>
  </si>
  <si>
    <t>Good</t>
  </si>
  <si>
    <t>West</t>
  </si>
  <si>
    <t>Cost: Cheap &lt; $86,462, Expensive ≥ $86462</t>
  </si>
  <si>
    <t>Midwest</t>
  </si>
  <si>
    <t>Moderate</t>
  </si>
  <si>
    <t>Cheap</t>
  </si>
  <si>
    <t>School: Good &gt; 246, Weak ≤ 246</t>
  </si>
  <si>
    <t>South</t>
  </si>
  <si>
    <t>Weak</t>
  </si>
  <si>
    <t>Unsafe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</si>
</sst>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Google Sans Text"/>
    </font>
    <font>
      <sz val="10.0"/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Font="1"/>
    <xf borderId="1" fillId="0" fontId="2" numFmtId="0" xfId="0" applyAlignment="1" applyBorder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164" xfId="0" applyFont="1" applyNumberFormat="1"/>
    <xf borderId="0" fillId="0" fontId="1" numFmtId="164" xfId="0" applyAlignment="1" applyFont="1" applyNumberFormat="1">
      <alignment readingOrder="0"/>
    </xf>
    <xf borderId="1" fillId="0" fontId="3" numFmtId="0" xfId="0" applyAlignment="1" applyBorder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right" vertical="bottom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6">
    <tableStyle count="2" pivot="0" name="fact_costs-style">
      <tableStyleElement dxfId="1" type="firstRowStripe"/>
      <tableStyleElement dxfId="2" type="secondRowStripe"/>
    </tableStyle>
    <tableStyle count="2" pivot="0" name="fact_costs-style 2">
      <tableStyleElement dxfId="1" type="firstRowStripe"/>
      <tableStyleElement dxfId="2" type="secondRowStripe"/>
    </tableStyle>
    <tableStyle count="2" pivot="0" name="ref_national-style">
      <tableStyleElement dxfId="1" type="firstRowStripe"/>
      <tableStyleElement dxfId="2" type="secondRowStripe"/>
    </tableStyle>
    <tableStyle count="2" pivot="0" name="ref_national-style 2">
      <tableStyleElement dxfId="1" type="firstRowStripe"/>
      <tableStyleElement dxfId="2" type="secondRowStripe"/>
    </tableStyle>
    <tableStyle count="4" pivot="0" name="zscores-style">
      <tableStyleElement dxfId="3" type="headerRow"/>
      <tableStyleElement dxfId="1" type="firstRowStripe"/>
      <tableStyleElement dxfId="2" type="secondRowStripe"/>
      <tableStyleElement dxfId="4" size="0" type="wholeTable"/>
    </tableStyle>
    <tableStyle count="4" pivot="0" name="dim_states-style">
      <tableStyleElement dxfId="3" type="headerRow"/>
      <tableStyleElement dxfId="1" type="firstRowStripe"/>
      <tableStyleElement dxfId="2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51" displayName="Table2" name="Table2" id="6">
  <autoFilter ref="$A$1:$F$51">
    <filterColumn colId="2">
      <filters>
        <filter val="Unsafe"/>
        <filter val="Safe"/>
      </filters>
    </filterColumn>
    <filterColumn colId="3">
      <filters>
        <filter val="Cheap"/>
      </filters>
    </filterColumn>
    <filterColumn colId="4">
      <filters>
        <filter val="Good"/>
      </filters>
    </filterColumn>
  </autoFilter>
  <tableColumns count="6">
    <tableColumn name="State" id="1"/>
    <tableColumn name="Region" id="2"/>
    <tableColumn name="Safety" id="3"/>
    <tableColumn name="Cost" id="4"/>
    <tableColumn name="School" id="5"/>
    <tableColumn name="composite school weighted" id="6"/>
  </tableColumns>
  <tableStyleInfo name="dim_states-style" showColumnStripes="0" showFirstColumn="1" showLastColumn="1" showRowStripes="1"/>
</table>
</file>

<file path=xl/tables/table2.xml><?xml version="1.0" encoding="utf-8"?>
<table xmlns="http://schemas.openxmlformats.org/spreadsheetml/2006/main" headerRowCount="0" ref="A2:A52" displayName="Table_1" name="Table_1" id="1">
  <tableColumns count="1">
    <tableColumn name="Column1" id="1"/>
  </tableColumns>
  <tableStyleInfo name="fact_costs-style" showColumnStripes="0" showFirstColumn="1" showLastColumn="1" showRowStripes="1"/>
</table>
</file>

<file path=xl/tables/table3.xml><?xml version="1.0" encoding="utf-8"?>
<table xmlns="http://schemas.openxmlformats.org/spreadsheetml/2006/main" headerRowCount="0" ref="B2:L52" displayName="Table_2" name="Table_2" id="2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fact_costs-style 2" showColumnStripes="0" showFirstColumn="1" showLastColumn="1" showRowStripes="1"/>
</table>
</file>

<file path=xl/tables/table4.xml><?xml version="1.0" encoding="utf-8"?>
<table xmlns="http://schemas.openxmlformats.org/spreadsheetml/2006/main" headerRowCount="0" ref="C2:K2" displayName="Table_3" name="Table_3" id="3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ref_national-style" showColumnStripes="0" showFirstColumn="1" showLastColumn="1" showRowStripes="1"/>
</table>
</file>

<file path=xl/tables/table5.xml><?xml version="1.0" encoding="utf-8"?>
<table xmlns="http://schemas.openxmlformats.org/spreadsheetml/2006/main" headerRowCount="0" ref="A13" displayName="Table_4" name="Table_4" id="4">
  <tableColumns count="1">
    <tableColumn name="Column1" id="1"/>
  </tableColumns>
  <tableStyleInfo name="ref_national-style 2" showColumnStripes="0" showFirstColumn="1" showLastColumn="1" showRowStripes="1"/>
</table>
</file>

<file path=xl/tables/table6.xml><?xml version="1.0" encoding="utf-8"?>
<table xmlns="http://schemas.openxmlformats.org/spreadsheetml/2006/main" ref="A4:G54" displayName="Table1" name="Table1" id="5">
  <tableColumns count="7">
    <tableColumn name="state" id="1"/>
    <tableColumn name="school z score" id="2"/>
    <tableColumn name="vcr z score" id="3"/>
    <tableColumn name="house and expenses" id="4"/>
    <tableColumn name="composite" id="5"/>
    <tableColumn name="composite school weighted" id="6"/>
    <tableColumn name="composite cost weighted" id="7"/>
  </tableColumns>
  <tableStyleInfo name="zscor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6" max="6" width="26.0"/>
  </cols>
  <sheetData>
    <row r="1" ht="22.5" customHeight="1">
      <c r="A1" s="25" t="s">
        <v>1</v>
      </c>
      <c r="B1" s="25" t="s">
        <v>86</v>
      </c>
      <c r="C1" s="25" t="s">
        <v>87</v>
      </c>
      <c r="D1" s="25" t="s">
        <v>88</v>
      </c>
      <c r="E1" s="25" t="s">
        <v>89</v>
      </c>
      <c r="F1" s="26" t="s">
        <v>84</v>
      </c>
      <c r="H1" s="1" t="s">
        <v>90</v>
      </c>
    </row>
    <row r="2" ht="22.5" hidden="1" customHeight="1">
      <c r="A2" s="27" t="s">
        <v>20</v>
      </c>
      <c r="B2" s="27" t="s">
        <v>91</v>
      </c>
      <c r="C2" s="27" t="s">
        <v>92</v>
      </c>
      <c r="D2" s="27" t="s">
        <v>93</v>
      </c>
      <c r="E2" s="27" t="s">
        <v>94</v>
      </c>
      <c r="F2" s="24">
        <v>0.8046517152530114</v>
      </c>
    </row>
    <row r="3" ht="22.5" hidden="1" customHeight="1">
      <c r="A3" s="27" t="s">
        <v>25</v>
      </c>
      <c r="B3" s="27" t="s">
        <v>95</v>
      </c>
      <c r="C3" s="27" t="s">
        <v>92</v>
      </c>
      <c r="D3" s="27" t="s">
        <v>93</v>
      </c>
      <c r="E3" s="27" t="s">
        <v>94</v>
      </c>
      <c r="F3" s="24">
        <v>0.5018369728511429</v>
      </c>
      <c r="H3" s="1" t="s">
        <v>96</v>
      </c>
    </row>
    <row r="4" ht="22.5" hidden="1" customHeight="1">
      <c r="A4" s="27" t="s">
        <v>27</v>
      </c>
      <c r="B4" s="27" t="s">
        <v>97</v>
      </c>
      <c r="C4" s="27" t="s">
        <v>98</v>
      </c>
      <c r="D4" s="27" t="s">
        <v>99</v>
      </c>
      <c r="E4" s="27" t="s">
        <v>94</v>
      </c>
      <c r="F4" s="24">
        <v>0.5207097035344709</v>
      </c>
    </row>
    <row r="5" ht="22.5" hidden="1" customHeight="1">
      <c r="A5" s="27" t="s">
        <v>44</v>
      </c>
      <c r="B5" s="27" t="s">
        <v>91</v>
      </c>
      <c r="C5" s="27" t="s">
        <v>98</v>
      </c>
      <c r="D5" s="27" t="s">
        <v>93</v>
      </c>
      <c r="E5" s="27" t="s">
        <v>94</v>
      </c>
      <c r="F5" s="24">
        <v>0.8303129034338241</v>
      </c>
      <c r="H5" s="1" t="s">
        <v>100</v>
      </c>
    </row>
    <row r="6" ht="22.5" hidden="1" customHeight="1">
      <c r="A6" s="27" t="s">
        <v>48</v>
      </c>
      <c r="B6" s="27" t="s">
        <v>97</v>
      </c>
      <c r="C6" s="27" t="s">
        <v>98</v>
      </c>
      <c r="D6" s="27" t="s">
        <v>93</v>
      </c>
      <c r="E6" s="27" t="s">
        <v>94</v>
      </c>
      <c r="F6" s="24">
        <v>0.5270616746908723</v>
      </c>
    </row>
    <row r="7" ht="22.5" hidden="1" customHeight="1">
      <c r="A7" s="27" t="s">
        <v>54</v>
      </c>
      <c r="B7" s="27" t="s">
        <v>91</v>
      </c>
      <c r="C7" s="27" t="s">
        <v>92</v>
      </c>
      <c r="D7" s="27" t="s">
        <v>93</v>
      </c>
      <c r="E7" s="27" t="s">
        <v>94</v>
      </c>
      <c r="F7" s="24">
        <v>1.1424540205530043</v>
      </c>
    </row>
    <row r="8" ht="22.5" hidden="1" customHeight="1">
      <c r="A8" s="27" t="s">
        <v>55</v>
      </c>
      <c r="B8" s="27" t="s">
        <v>91</v>
      </c>
      <c r="C8" s="27" t="s">
        <v>92</v>
      </c>
      <c r="D8" s="27" t="s">
        <v>93</v>
      </c>
      <c r="E8" s="27" t="s">
        <v>94</v>
      </c>
      <c r="F8" s="24">
        <v>0.8852158654475717</v>
      </c>
    </row>
    <row r="9" ht="22.5" customHeight="1">
      <c r="A9" s="27" t="s">
        <v>59</v>
      </c>
      <c r="B9" s="27" t="s">
        <v>97</v>
      </c>
      <c r="C9" s="27" t="s">
        <v>92</v>
      </c>
      <c r="D9" s="27" t="s">
        <v>99</v>
      </c>
      <c r="E9" s="27" t="s">
        <v>94</v>
      </c>
      <c r="F9" s="24">
        <v>0.5445961199609174</v>
      </c>
    </row>
    <row r="10" ht="22.5" hidden="1" customHeight="1">
      <c r="A10" s="27" t="s">
        <v>69</v>
      </c>
      <c r="B10" s="27" t="s">
        <v>95</v>
      </c>
      <c r="C10" s="27" t="s">
        <v>92</v>
      </c>
      <c r="D10" s="27" t="s">
        <v>93</v>
      </c>
      <c r="E10" s="27" t="s">
        <v>94</v>
      </c>
      <c r="F10" s="24">
        <v>0.7634045467949417</v>
      </c>
    </row>
    <row r="11" ht="22.5" hidden="1" customHeight="1">
      <c r="A11" s="27" t="s">
        <v>74</v>
      </c>
      <c r="B11" s="27" t="s">
        <v>97</v>
      </c>
      <c r="C11" s="27" t="s">
        <v>98</v>
      </c>
      <c r="D11" s="27" t="s">
        <v>99</v>
      </c>
      <c r="E11" s="27" t="s">
        <v>94</v>
      </c>
      <c r="F11" s="24">
        <v>0.5171868274723637</v>
      </c>
    </row>
    <row r="12" ht="22.5" customHeight="1">
      <c r="A12" s="27" t="s">
        <v>75</v>
      </c>
      <c r="B12" s="27" t="s">
        <v>95</v>
      </c>
      <c r="C12" s="27" t="s">
        <v>92</v>
      </c>
      <c r="D12" s="27" t="s">
        <v>99</v>
      </c>
      <c r="E12" s="27" t="s">
        <v>94</v>
      </c>
      <c r="F12" s="24">
        <v>0.8952112399996197</v>
      </c>
    </row>
    <row r="13" ht="22.5" customHeight="1">
      <c r="A13" s="27" t="s">
        <v>31</v>
      </c>
      <c r="B13" s="27" t="s">
        <v>101</v>
      </c>
      <c r="C13" s="27" t="s">
        <v>92</v>
      </c>
      <c r="D13" s="27" t="s">
        <v>99</v>
      </c>
      <c r="E13" s="27" t="s">
        <v>94</v>
      </c>
      <c r="F13" s="24">
        <v>0.45829844245029366</v>
      </c>
    </row>
    <row r="14" ht="22.5" customHeight="1">
      <c r="A14" s="27" t="s">
        <v>28</v>
      </c>
      <c r="B14" s="27" t="s">
        <v>97</v>
      </c>
      <c r="C14" s="27" t="s">
        <v>92</v>
      </c>
      <c r="D14" s="27" t="s">
        <v>99</v>
      </c>
      <c r="E14" s="27" t="s">
        <v>94</v>
      </c>
      <c r="F14" s="24">
        <v>0.44660403342558186</v>
      </c>
    </row>
    <row r="15" ht="22.5" hidden="1" customHeight="1">
      <c r="A15" s="27" t="s">
        <v>60</v>
      </c>
      <c r="B15" s="27" t="s">
        <v>97</v>
      </c>
      <c r="C15" s="27" t="s">
        <v>98</v>
      </c>
      <c r="D15" s="27" t="s">
        <v>99</v>
      </c>
      <c r="E15" s="27" t="s">
        <v>94</v>
      </c>
      <c r="F15" s="24">
        <v>0.42097538037511484</v>
      </c>
    </row>
    <row r="16" ht="22.5" customHeight="1">
      <c r="A16" s="27" t="s">
        <v>52</v>
      </c>
      <c r="B16" s="27" t="s">
        <v>97</v>
      </c>
      <c r="C16" s="27" t="s">
        <v>92</v>
      </c>
      <c r="D16" s="27" t="s">
        <v>99</v>
      </c>
      <c r="E16" s="27" t="s">
        <v>94</v>
      </c>
      <c r="F16" s="24">
        <v>0.41525091957202254</v>
      </c>
    </row>
    <row r="17" ht="22.5" customHeight="1">
      <c r="A17" s="27" t="s">
        <v>63</v>
      </c>
      <c r="B17" s="27" t="s">
        <v>91</v>
      </c>
      <c r="C17" s="27" t="s">
        <v>92</v>
      </c>
      <c r="D17" s="27" t="s">
        <v>99</v>
      </c>
      <c r="E17" s="27" t="s">
        <v>94</v>
      </c>
      <c r="F17" s="24">
        <v>0.38101623197842044</v>
      </c>
    </row>
    <row r="18" ht="22.5" hidden="1" customHeight="1">
      <c r="A18" s="27" t="s">
        <v>49</v>
      </c>
      <c r="B18" s="27" t="s">
        <v>101</v>
      </c>
      <c r="C18" s="27" t="s">
        <v>92</v>
      </c>
      <c r="D18" s="27" t="s">
        <v>99</v>
      </c>
      <c r="E18" s="27" t="s">
        <v>102</v>
      </c>
      <c r="F18" s="24">
        <v>0.35842949641539834</v>
      </c>
    </row>
    <row r="19" ht="22.5" hidden="1" customHeight="1">
      <c r="A19" s="27" t="s">
        <v>64</v>
      </c>
      <c r="B19" s="27" t="s">
        <v>91</v>
      </c>
      <c r="C19" s="27" t="s">
        <v>92</v>
      </c>
      <c r="D19" s="27" t="s">
        <v>93</v>
      </c>
      <c r="E19" s="27" t="s">
        <v>102</v>
      </c>
      <c r="F19" s="24">
        <v>0.3342317792941325</v>
      </c>
    </row>
    <row r="20" ht="22.5" hidden="1" customHeight="1">
      <c r="A20" s="27" t="s">
        <v>26</v>
      </c>
      <c r="B20" s="27" t="s">
        <v>97</v>
      </c>
      <c r="C20" s="27" t="s">
        <v>98</v>
      </c>
      <c r="D20" s="27" t="s">
        <v>99</v>
      </c>
      <c r="E20" s="27" t="s">
        <v>94</v>
      </c>
      <c r="F20" s="24">
        <v>0.28806481526137784</v>
      </c>
    </row>
    <row r="21" ht="22.5" hidden="1" customHeight="1">
      <c r="A21" s="27" t="s">
        <v>71</v>
      </c>
      <c r="B21" s="27" t="s">
        <v>101</v>
      </c>
      <c r="C21" s="27" t="s">
        <v>92</v>
      </c>
      <c r="D21" s="27" t="s">
        <v>93</v>
      </c>
      <c r="E21" s="27" t="s">
        <v>102</v>
      </c>
      <c r="F21" s="24">
        <v>0.2800055358411832</v>
      </c>
    </row>
    <row r="22" ht="22.5" hidden="1" customHeight="1">
      <c r="A22" s="27" t="s">
        <v>66</v>
      </c>
      <c r="B22" s="27" t="s">
        <v>97</v>
      </c>
      <c r="C22" s="27" t="s">
        <v>98</v>
      </c>
      <c r="D22" s="27" t="s">
        <v>99</v>
      </c>
      <c r="E22" s="27" t="s">
        <v>94</v>
      </c>
      <c r="F22" s="24">
        <v>0.27108052079626427</v>
      </c>
    </row>
    <row r="23" ht="22.5" hidden="1" customHeight="1">
      <c r="A23" s="27" t="s">
        <v>35</v>
      </c>
      <c r="B23" s="27" t="s">
        <v>91</v>
      </c>
      <c r="C23" s="27" t="s">
        <v>92</v>
      </c>
      <c r="D23" s="27" t="s">
        <v>93</v>
      </c>
      <c r="E23" s="27" t="s">
        <v>102</v>
      </c>
      <c r="F23" s="24">
        <v>0.2644094298171032</v>
      </c>
    </row>
    <row r="24" ht="22.5" hidden="1" customHeight="1">
      <c r="A24" s="27" t="s">
        <v>70</v>
      </c>
      <c r="B24" s="27" t="s">
        <v>91</v>
      </c>
      <c r="C24" s="27" t="s">
        <v>92</v>
      </c>
      <c r="D24" s="27" t="s">
        <v>93</v>
      </c>
      <c r="E24" s="27" t="s">
        <v>102</v>
      </c>
      <c r="F24" s="24">
        <v>0.12545431674709126</v>
      </c>
    </row>
    <row r="25" ht="22.5" hidden="1" customHeight="1">
      <c r="A25" s="27" t="s">
        <v>22</v>
      </c>
      <c r="B25" s="27" t="s">
        <v>101</v>
      </c>
      <c r="C25" s="27" t="s">
        <v>98</v>
      </c>
      <c r="D25" s="27" t="s">
        <v>99</v>
      </c>
      <c r="E25" s="27" t="s">
        <v>102</v>
      </c>
      <c r="F25" s="24">
        <v>0.0966033923407306</v>
      </c>
    </row>
    <row r="26" ht="22.5" hidden="1" customHeight="1">
      <c r="A26" s="27" t="s">
        <v>19</v>
      </c>
      <c r="B26" s="27" t="s">
        <v>95</v>
      </c>
      <c r="C26" s="27" t="s">
        <v>103</v>
      </c>
      <c r="D26" s="27" t="s">
        <v>93</v>
      </c>
      <c r="E26" s="27" t="s">
        <v>94</v>
      </c>
      <c r="F26" s="24">
        <v>-0.04370391554258882</v>
      </c>
    </row>
    <row r="27" ht="22.5" hidden="1" customHeight="1">
      <c r="A27" s="27" t="s">
        <v>51</v>
      </c>
      <c r="B27" s="27" t="s">
        <v>95</v>
      </c>
      <c r="C27" s="27" t="s">
        <v>98</v>
      </c>
      <c r="D27" s="27" t="s">
        <v>93</v>
      </c>
      <c r="E27" s="27" t="s">
        <v>94</v>
      </c>
      <c r="F27" s="24">
        <v>-0.04380492980119345</v>
      </c>
    </row>
    <row r="28" ht="22.5" hidden="1" customHeight="1">
      <c r="A28" s="27" t="s">
        <v>24</v>
      </c>
      <c r="B28" s="27" t="s">
        <v>95</v>
      </c>
      <c r="C28" s="27" t="s">
        <v>92</v>
      </c>
      <c r="D28" s="27" t="s">
        <v>93</v>
      </c>
      <c r="E28" s="27" t="s">
        <v>102</v>
      </c>
      <c r="F28" s="24">
        <v>-0.06741931990794636</v>
      </c>
    </row>
    <row r="29" ht="22.5" hidden="1" customHeight="1">
      <c r="A29" s="27" t="s">
        <v>72</v>
      </c>
      <c r="B29" s="27" t="s">
        <v>95</v>
      </c>
      <c r="C29" s="27" t="s">
        <v>98</v>
      </c>
      <c r="D29" s="27" t="s">
        <v>93</v>
      </c>
      <c r="E29" s="27" t="s">
        <v>94</v>
      </c>
      <c r="F29" s="24">
        <v>-0.07189210849848394</v>
      </c>
    </row>
    <row r="30" ht="22.5" hidden="1" customHeight="1">
      <c r="A30" s="27" t="s">
        <v>23</v>
      </c>
      <c r="B30" s="27" t="s">
        <v>101</v>
      </c>
      <c r="C30" s="27" t="s">
        <v>98</v>
      </c>
      <c r="D30" s="27" t="s">
        <v>99</v>
      </c>
      <c r="E30" s="27" t="s">
        <v>102</v>
      </c>
      <c r="F30" s="24">
        <v>-0.09042255318391051</v>
      </c>
    </row>
    <row r="31" ht="22.5" hidden="1" customHeight="1">
      <c r="A31" s="27" t="s">
        <v>58</v>
      </c>
      <c r="B31" s="27" t="s">
        <v>101</v>
      </c>
      <c r="C31" s="27" t="s">
        <v>98</v>
      </c>
      <c r="D31" s="27" t="s">
        <v>99</v>
      </c>
      <c r="E31" s="27" t="s">
        <v>102</v>
      </c>
      <c r="F31" s="24">
        <v>-0.11751609206418148</v>
      </c>
    </row>
    <row r="32" ht="22.5" hidden="1" customHeight="1">
      <c r="A32" s="27" t="s">
        <v>29</v>
      </c>
      <c r="B32" s="27" t="s">
        <v>97</v>
      </c>
      <c r="C32" s="27" t="s">
        <v>103</v>
      </c>
      <c r="D32" s="27" t="s">
        <v>99</v>
      </c>
      <c r="E32" s="27" t="s">
        <v>102</v>
      </c>
      <c r="F32" s="24">
        <v>-0.35256590955608025</v>
      </c>
    </row>
    <row r="33" ht="22.5" hidden="1" customHeight="1">
      <c r="A33" s="27" t="s">
        <v>57</v>
      </c>
      <c r="B33" s="27" t="s">
        <v>91</v>
      </c>
      <c r="C33" s="27" t="s">
        <v>98</v>
      </c>
      <c r="D33" s="27" t="s">
        <v>93</v>
      </c>
      <c r="E33" s="27" t="s">
        <v>102</v>
      </c>
      <c r="F33" s="24">
        <v>-0.3731496721874243</v>
      </c>
    </row>
    <row r="34" ht="22.5" hidden="1" customHeight="1">
      <c r="A34" s="27" t="s">
        <v>68</v>
      </c>
      <c r="B34" s="27" t="s">
        <v>101</v>
      </c>
      <c r="C34" s="27" t="s">
        <v>98</v>
      </c>
      <c r="D34" s="27" t="s">
        <v>99</v>
      </c>
      <c r="E34" s="27" t="s">
        <v>102</v>
      </c>
      <c r="F34" s="24">
        <v>-0.3852228036004784</v>
      </c>
    </row>
    <row r="35" ht="22.5" hidden="1" customHeight="1">
      <c r="A35" s="27" t="s">
        <v>65</v>
      </c>
      <c r="B35" s="27" t="s">
        <v>101</v>
      </c>
      <c r="C35" s="27" t="s">
        <v>98</v>
      </c>
      <c r="D35" s="27" t="s">
        <v>99</v>
      </c>
      <c r="E35" s="27" t="s">
        <v>102</v>
      </c>
      <c r="F35" s="24">
        <v>-0.4929184817936019</v>
      </c>
    </row>
    <row r="36" ht="22.5" hidden="1" customHeight="1">
      <c r="A36" s="27" t="s">
        <v>37</v>
      </c>
      <c r="B36" s="27" t="s">
        <v>101</v>
      </c>
      <c r="C36" s="27" t="s">
        <v>98</v>
      </c>
      <c r="D36" s="27" t="s">
        <v>93</v>
      </c>
      <c r="E36" s="27" t="s">
        <v>102</v>
      </c>
      <c r="F36" s="24">
        <v>-0.5228035871951874</v>
      </c>
    </row>
    <row r="37" ht="22.5" customHeight="1">
      <c r="A37" s="27" t="s">
        <v>67</v>
      </c>
      <c r="B37" s="27" t="s">
        <v>101</v>
      </c>
      <c r="C37" s="27" t="s">
        <v>103</v>
      </c>
      <c r="D37" s="27" t="s">
        <v>99</v>
      </c>
      <c r="E37" s="27" t="s">
        <v>94</v>
      </c>
      <c r="F37" s="24">
        <v>-0.5429516617938087</v>
      </c>
    </row>
    <row r="38" ht="22.5" hidden="1" customHeight="1">
      <c r="A38" s="27" t="s">
        <v>9</v>
      </c>
      <c r="B38" s="27" t="s">
        <v>101</v>
      </c>
      <c r="C38" s="27" t="s">
        <v>103</v>
      </c>
      <c r="D38" s="27" t="s">
        <v>99</v>
      </c>
      <c r="E38" s="27" t="s">
        <v>102</v>
      </c>
      <c r="F38" s="24">
        <v>-0.603950149465443</v>
      </c>
    </row>
    <row r="39" ht="22.5" hidden="1" customHeight="1">
      <c r="A39" s="27" t="s">
        <v>47</v>
      </c>
      <c r="B39" s="27" t="s">
        <v>97</v>
      </c>
      <c r="C39" s="27" t="s">
        <v>98</v>
      </c>
      <c r="D39" s="27" t="s">
        <v>99</v>
      </c>
      <c r="E39" s="27" t="s">
        <v>102</v>
      </c>
      <c r="F39" s="24">
        <v>-0.6272984286529943</v>
      </c>
    </row>
    <row r="40" ht="22.5" hidden="1" customHeight="1">
      <c r="A40" s="27" t="s">
        <v>50</v>
      </c>
      <c r="B40" s="27" t="s">
        <v>97</v>
      </c>
      <c r="C40" s="27" t="s">
        <v>103</v>
      </c>
      <c r="D40" s="27" t="s">
        <v>99</v>
      </c>
      <c r="E40" s="27" t="s">
        <v>102</v>
      </c>
      <c r="F40" s="24">
        <v>-0.6569449543883976</v>
      </c>
    </row>
    <row r="41" ht="22.5" hidden="1" customHeight="1">
      <c r="A41" s="27" t="s">
        <v>32</v>
      </c>
      <c r="B41" s="27" t="s">
        <v>101</v>
      </c>
      <c r="C41" s="27" t="s">
        <v>103</v>
      </c>
      <c r="D41" s="27" t="s">
        <v>99</v>
      </c>
      <c r="E41" s="27" t="s">
        <v>102</v>
      </c>
      <c r="F41" s="24">
        <v>-0.6866720924822644</v>
      </c>
    </row>
    <row r="42" ht="22.5" hidden="1" customHeight="1">
      <c r="A42" s="27" t="s">
        <v>73</v>
      </c>
      <c r="B42" s="27" t="s">
        <v>101</v>
      </c>
      <c r="C42" s="27" t="s">
        <v>92</v>
      </c>
      <c r="D42" s="27" t="s">
        <v>99</v>
      </c>
      <c r="E42" s="27" t="s">
        <v>102</v>
      </c>
      <c r="F42" s="24">
        <v>-0.6882489327899665</v>
      </c>
    </row>
    <row r="43" ht="22.5" hidden="1" customHeight="1">
      <c r="A43" s="27" t="s">
        <v>53</v>
      </c>
      <c r="B43" s="27" t="s">
        <v>95</v>
      </c>
      <c r="C43" s="27" t="s">
        <v>98</v>
      </c>
      <c r="D43" s="27" t="s">
        <v>93</v>
      </c>
      <c r="E43" s="27" t="s">
        <v>102</v>
      </c>
      <c r="F43" s="24">
        <v>-0.770582980803769</v>
      </c>
    </row>
    <row r="44" ht="22.5" hidden="1" customHeight="1">
      <c r="A44" s="27" t="s">
        <v>62</v>
      </c>
      <c r="B44" s="27" t="s">
        <v>95</v>
      </c>
      <c r="C44" s="27" t="s">
        <v>98</v>
      </c>
      <c r="D44" s="27" t="s">
        <v>93</v>
      </c>
      <c r="E44" s="27" t="s">
        <v>102</v>
      </c>
      <c r="F44" s="24">
        <v>-0.7879353632444088</v>
      </c>
    </row>
    <row r="45" ht="22.5" hidden="1" customHeight="1">
      <c r="A45" s="27" t="s">
        <v>16</v>
      </c>
      <c r="B45" s="27" t="s">
        <v>95</v>
      </c>
      <c r="C45" s="27" t="s">
        <v>98</v>
      </c>
      <c r="D45" s="27" t="s">
        <v>93</v>
      </c>
      <c r="E45" s="27" t="s">
        <v>102</v>
      </c>
      <c r="F45" s="24">
        <v>-0.8289994815288221</v>
      </c>
    </row>
    <row r="46" ht="22.5" hidden="1" customHeight="1">
      <c r="A46" s="27" t="s">
        <v>21</v>
      </c>
      <c r="B46" s="27" t="s">
        <v>101</v>
      </c>
      <c r="C46" s="27" t="s">
        <v>98</v>
      </c>
      <c r="D46" s="27" t="s">
        <v>99</v>
      </c>
      <c r="E46" s="27" t="s">
        <v>102</v>
      </c>
      <c r="F46" s="24">
        <v>-0.8530305888141143</v>
      </c>
    </row>
    <row r="47" ht="22.5" hidden="1" customHeight="1">
      <c r="A47" s="27" t="s">
        <v>61</v>
      </c>
      <c r="B47" s="27" t="s">
        <v>101</v>
      </c>
      <c r="C47" s="27" t="s">
        <v>98</v>
      </c>
      <c r="D47" s="27" t="s">
        <v>99</v>
      </c>
      <c r="E47" s="27" t="s">
        <v>102</v>
      </c>
      <c r="F47" s="24">
        <v>-1.017376034989616</v>
      </c>
    </row>
    <row r="48" ht="22.5" hidden="1" customHeight="1">
      <c r="A48" s="27" t="s">
        <v>18</v>
      </c>
      <c r="B48" s="27" t="s">
        <v>95</v>
      </c>
      <c r="C48" s="27" t="s">
        <v>103</v>
      </c>
      <c r="D48" s="27" t="s">
        <v>93</v>
      </c>
      <c r="E48" s="27" t="s">
        <v>102</v>
      </c>
      <c r="F48" s="24">
        <v>-1.123951700931776</v>
      </c>
    </row>
    <row r="49" ht="22.5" hidden="1" customHeight="1">
      <c r="A49" s="27" t="s">
        <v>17</v>
      </c>
      <c r="B49" s="27" t="s">
        <v>101</v>
      </c>
      <c r="C49" s="27" t="s">
        <v>103</v>
      </c>
      <c r="D49" s="27" t="s">
        <v>99</v>
      </c>
      <c r="E49" s="27" t="s">
        <v>102</v>
      </c>
      <c r="F49" s="24">
        <v>-1.2394567098286804</v>
      </c>
    </row>
    <row r="50" ht="22.5" hidden="1" customHeight="1">
      <c r="A50" s="27" t="s">
        <v>13</v>
      </c>
      <c r="B50" s="27" t="s">
        <v>95</v>
      </c>
      <c r="C50" s="27" t="s">
        <v>103</v>
      </c>
      <c r="D50" s="27" t="s">
        <v>93</v>
      </c>
      <c r="E50" s="27" t="s">
        <v>102</v>
      </c>
      <c r="F50" s="24">
        <v>-2.4518765230693598</v>
      </c>
    </row>
    <row r="51" ht="22.5" hidden="1" customHeight="1">
      <c r="A51" s="27" t="s">
        <v>56</v>
      </c>
      <c r="B51" s="27" t="s">
        <v>95</v>
      </c>
      <c r="C51" s="27" t="s">
        <v>103</v>
      </c>
      <c r="D51" s="27" t="s">
        <v>99</v>
      </c>
      <c r="E51" s="27" t="s">
        <v>102</v>
      </c>
      <c r="F51" s="24">
        <v>-2.620625336758656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2</v>
      </c>
      <c r="D1" s="1" t="s">
        <v>4</v>
      </c>
      <c r="E1" s="1" t="s">
        <v>6</v>
      </c>
      <c r="F1" s="1" t="s">
        <v>7</v>
      </c>
      <c r="G1" s="3" t="s">
        <v>8</v>
      </c>
      <c r="H1" s="5" t="s">
        <v>10</v>
      </c>
      <c r="I1" s="1" t="s">
        <v>11</v>
      </c>
      <c r="J1" s="1" t="s">
        <v>12</v>
      </c>
      <c r="K1" s="1" t="s">
        <v>14</v>
      </c>
      <c r="L1" s="1" t="s">
        <v>15</v>
      </c>
    </row>
    <row r="2">
      <c r="A2" s="6" t="s">
        <v>9</v>
      </c>
      <c r="B2" s="7">
        <v>219236.0</v>
      </c>
      <c r="C2" s="8">
        <v>1211.13</v>
      </c>
      <c r="D2" s="10">
        <f t="shared" ref="D2:D51" si="1">C2*12</f>
        <v>14533.56</v>
      </c>
      <c r="E2" s="11">
        <v>542.0</v>
      </c>
      <c r="F2" s="12">
        <f t="shared" ref="F2:F51" si="2">E2*12</f>
        <v>6504</v>
      </c>
      <c r="G2" s="10">
        <f>1398.02*12</f>
        <v>16776.24</v>
      </c>
      <c r="H2" s="13">
        <v>9600.0</v>
      </c>
      <c r="I2" s="11">
        <f>20550+H2</f>
        <v>30150</v>
      </c>
      <c r="J2" s="11">
        <v>1332.0</v>
      </c>
      <c r="K2" s="11">
        <v>1799.0</v>
      </c>
      <c r="L2" s="14">
        <f t="shared" ref="L2:L51" si="3">G2+F2+D2+J2+K2+I2</f>
        <v>71094.8</v>
      </c>
    </row>
    <row r="3">
      <c r="A3" s="6" t="s">
        <v>13</v>
      </c>
      <c r="B3" s="7">
        <v>358736.0</v>
      </c>
      <c r="C3" s="8">
        <v>1981.77</v>
      </c>
      <c r="D3" s="10">
        <f t="shared" si="1"/>
        <v>23781.24</v>
      </c>
      <c r="E3" s="11">
        <v>647.0</v>
      </c>
      <c r="F3" s="12">
        <f t="shared" si="2"/>
        <v>7764</v>
      </c>
      <c r="G3" s="10">
        <f>1839.5*12</f>
        <v>22074</v>
      </c>
      <c r="H3" s="13">
        <v>9600.0</v>
      </c>
      <c r="I3" s="11">
        <f>32947+H3</f>
        <v>42547</v>
      </c>
      <c r="J3" s="11">
        <v>1418.0</v>
      </c>
      <c r="K3" s="11">
        <v>1891.0</v>
      </c>
      <c r="L3" s="14">
        <f t="shared" si="3"/>
        <v>99475.24</v>
      </c>
      <c r="N3" s="11"/>
    </row>
    <row r="4">
      <c r="A4" s="6" t="s">
        <v>16</v>
      </c>
      <c r="B4" s="7">
        <v>406944.0</v>
      </c>
      <c r="C4" s="8">
        <v>2248.09</v>
      </c>
      <c r="D4" s="10">
        <f t="shared" si="1"/>
        <v>26977.08</v>
      </c>
      <c r="E4" s="11">
        <v>495.0</v>
      </c>
      <c r="F4" s="12">
        <f t="shared" si="2"/>
        <v>5940</v>
      </c>
      <c r="G4" s="10">
        <f>1486.32*12</f>
        <v>17835.84</v>
      </c>
      <c r="H4" s="13">
        <v>9600.0</v>
      </c>
      <c r="I4" s="11">
        <v>26624.0</v>
      </c>
      <c r="J4" s="11">
        <v>1339.0</v>
      </c>
      <c r="K4" s="11">
        <v>1812.0</v>
      </c>
      <c r="L4" s="14">
        <f t="shared" si="3"/>
        <v>80527.92</v>
      </c>
      <c r="N4" s="11"/>
    </row>
    <row r="5">
      <c r="A5" s="6" t="s">
        <v>17</v>
      </c>
      <c r="B5" s="7">
        <v>223053.0</v>
      </c>
      <c r="C5" s="8">
        <v>1232.21</v>
      </c>
      <c r="D5" s="10">
        <f t="shared" si="1"/>
        <v>14786.52</v>
      </c>
      <c r="E5" s="11">
        <v>502.0</v>
      </c>
      <c r="F5" s="12">
        <f t="shared" si="2"/>
        <v>6024</v>
      </c>
      <c r="G5" s="10">
        <f>12*1398.02</f>
        <v>16776.24</v>
      </c>
      <c r="H5" s="13">
        <v>9600.0</v>
      </c>
      <c r="I5" s="11">
        <f>21840+H5</f>
        <v>31440</v>
      </c>
      <c r="J5" s="11">
        <v>1308.0</v>
      </c>
      <c r="K5" s="11">
        <v>1773.0</v>
      </c>
      <c r="L5" s="14">
        <f t="shared" si="3"/>
        <v>72107.76</v>
      </c>
      <c r="N5" s="11"/>
    </row>
    <row r="6">
      <c r="A6" s="6" t="s">
        <v>18</v>
      </c>
      <c r="B6" s="7">
        <v>718104.0</v>
      </c>
      <c r="C6" s="8">
        <v>3967.03</v>
      </c>
      <c r="D6" s="10">
        <f t="shared" si="1"/>
        <v>47604.36</v>
      </c>
      <c r="E6" s="11">
        <v>561.0</v>
      </c>
      <c r="F6" s="12">
        <f t="shared" si="2"/>
        <v>6732</v>
      </c>
      <c r="G6" s="10">
        <f>1648.19*12</f>
        <v>19778.28</v>
      </c>
      <c r="H6" s="13">
        <v>9600.0</v>
      </c>
      <c r="I6" s="11">
        <f>35651+H6</f>
        <v>45251</v>
      </c>
      <c r="J6" s="11">
        <v>1418.0</v>
      </c>
      <c r="K6" s="11">
        <v>1891.0</v>
      </c>
      <c r="L6" s="14">
        <f t="shared" si="3"/>
        <v>122674.64</v>
      </c>
      <c r="N6" s="11"/>
    </row>
    <row r="7">
      <c r="A7" s="6" t="s">
        <v>19</v>
      </c>
      <c r="B7" s="7">
        <v>503084.0</v>
      </c>
      <c r="C7" s="8">
        <v>2779.19</v>
      </c>
      <c r="D7" s="10">
        <f t="shared" si="1"/>
        <v>33350.28</v>
      </c>
      <c r="E7" s="11">
        <v>488.0</v>
      </c>
      <c r="F7" s="12">
        <f t="shared" si="2"/>
        <v>5856</v>
      </c>
      <c r="G7" s="10">
        <f>1515.75*12</f>
        <v>18189</v>
      </c>
      <c r="H7" s="13">
        <v>9600.0</v>
      </c>
      <c r="I7" s="11">
        <f>34986+H7</f>
        <v>44586</v>
      </c>
      <c r="J7" s="11">
        <v>1356.0</v>
      </c>
      <c r="K7" s="11">
        <v>1826.0</v>
      </c>
      <c r="L7" s="14">
        <f t="shared" si="3"/>
        <v>105163.28</v>
      </c>
      <c r="N7" s="11"/>
    </row>
    <row r="8">
      <c r="A8" s="6" t="s">
        <v>20</v>
      </c>
      <c r="B8" s="7">
        <v>367669.0</v>
      </c>
      <c r="C8" s="8">
        <v>2031.12</v>
      </c>
      <c r="D8" s="10">
        <f t="shared" si="1"/>
        <v>24373.44</v>
      </c>
      <c r="E8" s="11">
        <v>554.0</v>
      </c>
      <c r="F8" s="12">
        <f t="shared" si="2"/>
        <v>6648</v>
      </c>
      <c r="G8" s="10">
        <f>1545.18*12</f>
        <v>18542.16</v>
      </c>
      <c r="H8" s="13">
        <v>9600.0</v>
      </c>
      <c r="I8" s="11">
        <f>41808+H8</f>
        <v>51408</v>
      </c>
      <c r="J8" s="11">
        <v>1324.0</v>
      </c>
      <c r="K8" s="11">
        <v>1792.0</v>
      </c>
      <c r="L8" s="14">
        <f t="shared" si="3"/>
        <v>104087.6</v>
      </c>
      <c r="N8" s="11"/>
    </row>
    <row r="9">
      <c r="A9" s="6" t="s">
        <v>21</v>
      </c>
      <c r="B9" s="7">
        <v>328899.0</v>
      </c>
      <c r="C9" s="8">
        <v>1816.94</v>
      </c>
      <c r="D9" s="10">
        <f t="shared" si="1"/>
        <v>21803.28</v>
      </c>
      <c r="E9" s="11">
        <v>570.0</v>
      </c>
      <c r="F9" s="12">
        <f t="shared" si="2"/>
        <v>6840</v>
      </c>
      <c r="G9" s="10">
        <f>1501.03*12</f>
        <v>18012.36</v>
      </c>
      <c r="H9" s="13">
        <v>9600.0</v>
      </c>
      <c r="I9" s="11">
        <f>H9+24544</f>
        <v>34144</v>
      </c>
      <c r="J9" s="11">
        <v>1341.0</v>
      </c>
      <c r="K9" s="11">
        <v>1812.0</v>
      </c>
      <c r="L9" s="14">
        <f t="shared" si="3"/>
        <v>83952.64</v>
      </c>
      <c r="N9" s="11"/>
    </row>
    <row r="10">
      <c r="A10" s="6" t="s">
        <v>22</v>
      </c>
      <c r="B10" s="7">
        <v>387663.0</v>
      </c>
      <c r="C10" s="8">
        <v>2141.57</v>
      </c>
      <c r="D10" s="10">
        <f t="shared" si="1"/>
        <v>25698.84</v>
      </c>
      <c r="E10" s="11">
        <v>480.0</v>
      </c>
      <c r="F10" s="12">
        <f t="shared" si="2"/>
        <v>5760</v>
      </c>
      <c r="G10" s="10">
        <f>1471.6*12</f>
        <v>17659.2</v>
      </c>
      <c r="H10" s="13">
        <v>9600.0</v>
      </c>
      <c r="I10" s="11">
        <f>H10+24045</f>
        <v>33645</v>
      </c>
      <c r="J10" s="11">
        <v>1356.0</v>
      </c>
      <c r="K10" s="11">
        <v>1827.0</v>
      </c>
      <c r="L10" s="14">
        <f t="shared" si="3"/>
        <v>85946.04</v>
      </c>
      <c r="N10" s="11"/>
    </row>
    <row r="11">
      <c r="A11" s="6" t="s">
        <v>23</v>
      </c>
      <c r="B11" s="7">
        <v>284809.0</v>
      </c>
      <c r="C11" s="8">
        <v>1573.37</v>
      </c>
      <c r="D11" s="10">
        <f t="shared" si="1"/>
        <v>18880.44</v>
      </c>
      <c r="E11" s="11">
        <v>579.0</v>
      </c>
      <c r="F11" s="12">
        <f t="shared" si="2"/>
        <v>6948</v>
      </c>
      <c r="G11" s="10">
        <f>1412.74*12</f>
        <v>16952.88</v>
      </c>
      <c r="H11" s="13">
        <v>9600.0</v>
      </c>
      <c r="I11" s="11">
        <f>H11+ 21299</f>
        <v>30899</v>
      </c>
      <c r="J11" s="11">
        <v>1352.0</v>
      </c>
      <c r="K11" s="11">
        <v>1820.0</v>
      </c>
      <c r="L11" s="14">
        <f t="shared" si="3"/>
        <v>76852.32</v>
      </c>
      <c r="N11" s="11"/>
    </row>
    <row r="12">
      <c r="A12" s="6" t="s">
        <v>24</v>
      </c>
      <c r="B12" s="7">
        <v>886930.0</v>
      </c>
      <c r="C12" s="8">
        <v>4899.68</v>
      </c>
      <c r="D12" s="10">
        <f t="shared" si="1"/>
        <v>58796.16</v>
      </c>
      <c r="E12" s="11">
        <v>616.0</v>
      </c>
      <c r="F12" s="12">
        <f t="shared" si="2"/>
        <v>7392</v>
      </c>
      <c r="G12" s="10">
        <f>1913.08*12</f>
        <v>22956.96</v>
      </c>
      <c r="H12" s="13">
        <v>9600.0</v>
      </c>
      <c r="I12" s="11">
        <f>H12+ 33363</f>
        <v>42963</v>
      </c>
      <c r="J12" s="11">
        <v>1458.0</v>
      </c>
      <c r="K12" s="11">
        <v>1933.0</v>
      </c>
      <c r="L12" s="14">
        <f t="shared" si="3"/>
        <v>135499.12</v>
      </c>
      <c r="N12" s="11"/>
    </row>
    <row r="13">
      <c r="A13" s="6" t="s">
        <v>25</v>
      </c>
      <c r="B13" s="7">
        <v>417658.0</v>
      </c>
      <c r="C13" s="8">
        <v>2307.27</v>
      </c>
      <c r="D13" s="10">
        <f t="shared" si="1"/>
        <v>27687.24</v>
      </c>
      <c r="E13" s="11">
        <v>553.0</v>
      </c>
      <c r="F13" s="12">
        <f t="shared" si="2"/>
        <v>6636</v>
      </c>
      <c r="G13" s="10">
        <f>1456.88*12</f>
        <v>17482.56</v>
      </c>
      <c r="H13" s="13">
        <v>9600.0</v>
      </c>
      <c r="I13" s="11">
        <f>H13+ 24378</f>
        <v>33978</v>
      </c>
      <c r="J13" s="11">
        <v>1331.0</v>
      </c>
      <c r="K13" s="11">
        <v>1800.0</v>
      </c>
      <c r="L13" s="14">
        <f t="shared" si="3"/>
        <v>88914.8</v>
      </c>
      <c r="N13" s="11"/>
    </row>
    <row r="14">
      <c r="A14" s="6" t="s">
        <v>26</v>
      </c>
      <c r="B14" s="7">
        <v>251379.0</v>
      </c>
      <c r="C14" s="8">
        <v>1388.7</v>
      </c>
      <c r="D14" s="10">
        <f t="shared" si="1"/>
        <v>16664.4</v>
      </c>
      <c r="E14" s="11">
        <v>457.0</v>
      </c>
      <c r="F14" s="12">
        <f t="shared" si="2"/>
        <v>5484</v>
      </c>
      <c r="G14" s="10">
        <f>1471.6*12</f>
        <v>17659.2</v>
      </c>
      <c r="H14" s="13">
        <v>9600.0</v>
      </c>
      <c r="I14" s="12">
        <v>36806.0</v>
      </c>
      <c r="J14" s="11">
        <v>1371.0</v>
      </c>
      <c r="K14" s="11">
        <v>1841.0</v>
      </c>
      <c r="L14" s="14">
        <f t="shared" si="3"/>
        <v>79825.6</v>
      </c>
      <c r="N14" s="11"/>
    </row>
    <row r="15">
      <c r="A15" s="6" t="s">
        <v>27</v>
      </c>
      <c r="B15" s="7">
        <v>223999.0</v>
      </c>
      <c r="C15" s="8">
        <v>1237.44</v>
      </c>
      <c r="D15" s="10">
        <f t="shared" si="1"/>
        <v>14849.28</v>
      </c>
      <c r="E15" s="11">
        <v>526.0</v>
      </c>
      <c r="F15" s="12">
        <f t="shared" si="2"/>
        <v>6312</v>
      </c>
      <c r="G15" s="10">
        <f>1412.74*12</f>
        <v>16952.88</v>
      </c>
      <c r="H15" s="13">
        <v>9600.0</v>
      </c>
      <c r="I15" s="12">
        <v>37514.0</v>
      </c>
      <c r="J15" s="11">
        <v>1366.0</v>
      </c>
      <c r="K15" s="11">
        <v>1839.0</v>
      </c>
      <c r="L15" s="14">
        <f t="shared" si="3"/>
        <v>78833.16</v>
      </c>
      <c r="N15" s="11"/>
    </row>
    <row r="16">
      <c r="A16" s="6" t="s">
        <v>28</v>
      </c>
      <c r="B16" s="7">
        <v>212119.0</v>
      </c>
      <c r="C16" s="8">
        <v>1171.81</v>
      </c>
      <c r="D16" s="10">
        <f t="shared" si="1"/>
        <v>14061.72</v>
      </c>
      <c r="E16" s="11">
        <v>460.0</v>
      </c>
      <c r="F16" s="12">
        <f t="shared" si="2"/>
        <v>5520</v>
      </c>
      <c r="G16" s="10">
        <f t="shared" ref="G16:G17" si="4">1442.17*12</f>
        <v>17306.04</v>
      </c>
      <c r="H16" s="13">
        <v>9600.0</v>
      </c>
      <c r="I16" s="12">
        <v>31773.0</v>
      </c>
      <c r="J16" s="11">
        <v>1337.0</v>
      </c>
      <c r="K16" s="11">
        <v>1806.0</v>
      </c>
      <c r="L16" s="14">
        <f t="shared" si="3"/>
        <v>71803.76</v>
      </c>
      <c r="N16" s="11"/>
    </row>
    <row r="17">
      <c r="A17" s="6" t="s">
        <v>29</v>
      </c>
      <c r="B17" s="7">
        <v>208892.0</v>
      </c>
      <c r="C17" s="8">
        <v>1153.98</v>
      </c>
      <c r="D17" s="10">
        <f t="shared" si="1"/>
        <v>13847.76</v>
      </c>
      <c r="E17" s="11">
        <v>506.0</v>
      </c>
      <c r="F17" s="12">
        <f t="shared" si="2"/>
        <v>6072</v>
      </c>
      <c r="G17" s="10">
        <f t="shared" si="4"/>
        <v>17306.04</v>
      </c>
      <c r="H17" s="13">
        <v>9600.0</v>
      </c>
      <c r="I17" s="12">
        <v>31357.0</v>
      </c>
      <c r="J17" s="11">
        <v>1307.0</v>
      </c>
      <c r="K17" s="11">
        <v>1771.0</v>
      </c>
      <c r="L17" s="14">
        <f t="shared" si="3"/>
        <v>71660.8</v>
      </c>
      <c r="N17" s="11"/>
    </row>
    <row r="18">
      <c r="A18" s="6" t="s">
        <v>31</v>
      </c>
      <c r="B18" s="7">
        <v>216986.0</v>
      </c>
      <c r="C18" s="8">
        <v>1198.7</v>
      </c>
      <c r="D18" s="10">
        <f t="shared" si="1"/>
        <v>14384.4</v>
      </c>
      <c r="E18" s="11">
        <v>511.0</v>
      </c>
      <c r="F18" s="12">
        <f t="shared" si="2"/>
        <v>6132</v>
      </c>
      <c r="G18" s="10">
        <f>1412.74*12</f>
        <v>16952.88</v>
      </c>
      <c r="H18" s="13">
        <v>9600.0</v>
      </c>
      <c r="I18" s="12">
        <v>30358.0</v>
      </c>
      <c r="J18" s="11">
        <v>1354.0</v>
      </c>
      <c r="K18" s="11">
        <v>1826.0</v>
      </c>
      <c r="L18" s="14">
        <f t="shared" si="3"/>
        <v>71007.28</v>
      </c>
      <c r="N18" s="11"/>
    </row>
    <row r="19">
      <c r="A19" s="6" t="s">
        <v>32</v>
      </c>
      <c r="B19" s="7">
        <v>203886.0</v>
      </c>
      <c r="C19" s="8">
        <v>1126.33</v>
      </c>
      <c r="D19" s="10">
        <f t="shared" si="1"/>
        <v>13515.96</v>
      </c>
      <c r="E19" s="11">
        <v>511.0</v>
      </c>
      <c r="F19" s="12">
        <f t="shared" si="2"/>
        <v>6132</v>
      </c>
      <c r="G19" s="10">
        <f>1398.02*12</f>
        <v>16776.24</v>
      </c>
      <c r="H19" s="13">
        <v>9600.0</v>
      </c>
      <c r="I19" s="12">
        <v>31398.0</v>
      </c>
      <c r="J19" s="11">
        <v>1310.0</v>
      </c>
      <c r="K19" s="11">
        <v>1775.0</v>
      </c>
      <c r="L19" s="14">
        <f t="shared" si="3"/>
        <v>70907.2</v>
      </c>
      <c r="N19" s="11"/>
    </row>
    <row r="20">
      <c r="A20" s="6" t="s">
        <v>35</v>
      </c>
      <c r="B20" s="7">
        <v>395378.0</v>
      </c>
      <c r="C20" s="8">
        <v>2184.19</v>
      </c>
      <c r="D20" s="10">
        <f t="shared" si="1"/>
        <v>26210.28</v>
      </c>
      <c r="E20" s="11">
        <v>527.0</v>
      </c>
      <c r="F20" s="12">
        <f t="shared" si="2"/>
        <v>6324</v>
      </c>
      <c r="G20" s="4">
        <f t="shared" ref="G20:G21" si="5">1515.75*12</f>
        <v>18189</v>
      </c>
      <c r="H20" s="13">
        <v>9600.0</v>
      </c>
      <c r="I20" s="12">
        <v>38512.0</v>
      </c>
      <c r="J20" s="11">
        <v>1354.0</v>
      </c>
      <c r="K20" s="11">
        <v>1826.0</v>
      </c>
      <c r="L20" s="14">
        <f t="shared" si="3"/>
        <v>92415.28</v>
      </c>
      <c r="N20" s="11"/>
    </row>
    <row r="21">
      <c r="A21" s="6" t="s">
        <v>37</v>
      </c>
      <c r="B21" s="7">
        <v>359950.0</v>
      </c>
      <c r="C21" s="8">
        <v>1988.48</v>
      </c>
      <c r="D21" s="10">
        <f t="shared" si="1"/>
        <v>23861.76</v>
      </c>
      <c r="E21" s="11">
        <v>561.0</v>
      </c>
      <c r="F21" s="12">
        <f t="shared" si="2"/>
        <v>6732</v>
      </c>
      <c r="G21" s="10">
        <f t="shared" si="5"/>
        <v>18189</v>
      </c>
      <c r="H21" s="13">
        <v>9600.0</v>
      </c>
      <c r="I21" s="12">
        <v>40883.0</v>
      </c>
      <c r="J21" s="11">
        <v>1389.0</v>
      </c>
      <c r="K21" s="11">
        <v>1861.0</v>
      </c>
      <c r="L21" s="14">
        <f t="shared" si="3"/>
        <v>92915.76</v>
      </c>
      <c r="N21" s="11"/>
    </row>
    <row r="22">
      <c r="A22" s="6" t="s">
        <v>44</v>
      </c>
      <c r="B22" s="7">
        <v>560849.0</v>
      </c>
      <c r="C22" s="8">
        <v>3098.3</v>
      </c>
      <c r="D22" s="10">
        <f t="shared" si="1"/>
        <v>37179.6</v>
      </c>
      <c r="E22" s="11">
        <v>543.0</v>
      </c>
      <c r="F22" s="12">
        <f t="shared" si="2"/>
        <v>6516</v>
      </c>
      <c r="G22" s="10">
        <f>1574.61*12</f>
        <v>18895.32</v>
      </c>
      <c r="H22" s="13">
        <v>9600.0</v>
      </c>
      <c r="I22" s="12">
        <v>53821.0</v>
      </c>
      <c r="J22" s="11">
        <v>1334.0</v>
      </c>
      <c r="K22" s="11">
        <v>1804.0</v>
      </c>
      <c r="L22" s="14">
        <f t="shared" si="3"/>
        <v>119549.92</v>
      </c>
      <c r="N22" s="11"/>
    </row>
    <row r="23">
      <c r="A23" s="6" t="s">
        <v>47</v>
      </c>
      <c r="B23" s="7">
        <v>234430.0</v>
      </c>
      <c r="C23" s="8">
        <v>1295.06</v>
      </c>
      <c r="D23" s="10">
        <f t="shared" si="1"/>
        <v>15540.72</v>
      </c>
      <c r="E23" s="11">
        <v>472.0</v>
      </c>
      <c r="F23" s="12">
        <f t="shared" si="2"/>
        <v>5664</v>
      </c>
      <c r="G23" s="10">
        <f>1427.45*12</f>
        <v>17129.4</v>
      </c>
      <c r="H23" s="13">
        <v>9600.0</v>
      </c>
      <c r="I23" s="12">
        <v>33187.0</v>
      </c>
      <c r="J23" s="11">
        <v>1339.0</v>
      </c>
      <c r="K23" s="11">
        <v>1810.0</v>
      </c>
      <c r="L23" s="14">
        <f t="shared" si="3"/>
        <v>74670.12</v>
      </c>
      <c r="N23" s="11"/>
    </row>
    <row r="24">
      <c r="A24" s="6" t="s">
        <v>48</v>
      </c>
      <c r="B24" s="7">
        <v>312964.0</v>
      </c>
      <c r="C24" s="8">
        <v>1728.91</v>
      </c>
      <c r="D24" s="10">
        <f t="shared" si="1"/>
        <v>20746.92</v>
      </c>
      <c r="E24" s="11">
        <v>451.0</v>
      </c>
      <c r="F24" s="12">
        <f t="shared" si="2"/>
        <v>5412</v>
      </c>
      <c r="G24" s="10">
        <f>12*1486.32</f>
        <v>17835.84</v>
      </c>
      <c r="H24" s="13">
        <v>9600.0</v>
      </c>
      <c r="I24" s="12">
        <v>42797.0</v>
      </c>
      <c r="J24" s="11">
        <v>1361.0</v>
      </c>
      <c r="K24" s="11">
        <v>1831.0</v>
      </c>
      <c r="L24" s="14">
        <f t="shared" si="3"/>
        <v>89983.76</v>
      </c>
      <c r="N24" s="11"/>
    </row>
    <row r="25">
      <c r="A25" s="6" t="s">
        <v>49</v>
      </c>
      <c r="B25" s="7">
        <v>184154.0</v>
      </c>
      <c r="C25" s="8">
        <v>1017.32</v>
      </c>
      <c r="D25" s="10">
        <f t="shared" si="1"/>
        <v>12207.84</v>
      </c>
      <c r="E25" s="11">
        <v>517.0</v>
      </c>
      <c r="F25" s="12">
        <f t="shared" si="2"/>
        <v>6204</v>
      </c>
      <c r="G25" s="10">
        <f>1398.02*12</f>
        <v>16776.24</v>
      </c>
      <c r="H25" s="13">
        <v>9600.0</v>
      </c>
      <c r="I25" s="12">
        <v>28778.0</v>
      </c>
      <c r="J25" s="11">
        <v>1329.0</v>
      </c>
      <c r="K25" s="11">
        <v>1795.0</v>
      </c>
      <c r="L25" s="14">
        <f t="shared" si="3"/>
        <v>67090.08</v>
      </c>
      <c r="N25" s="11"/>
    </row>
    <row r="26">
      <c r="A26" s="6" t="s">
        <v>50</v>
      </c>
      <c r="B26" s="7">
        <v>237568.0</v>
      </c>
      <c r="C26" s="8">
        <v>1312.4</v>
      </c>
      <c r="D26" s="10">
        <f t="shared" si="1"/>
        <v>15748.8</v>
      </c>
      <c r="E26" s="11">
        <v>631.0</v>
      </c>
      <c r="F26" s="12">
        <f t="shared" si="2"/>
        <v>7572</v>
      </c>
      <c r="G26" s="10">
        <f>1427.45*12</f>
        <v>17129.4</v>
      </c>
      <c r="H26" s="13">
        <v>9600.0</v>
      </c>
      <c r="I26" s="12">
        <v>35642.0</v>
      </c>
      <c r="J26" s="11">
        <v>1327.0</v>
      </c>
      <c r="K26" s="11">
        <v>1793.0</v>
      </c>
      <c r="L26" s="14">
        <f t="shared" si="3"/>
        <v>79212.2</v>
      </c>
      <c r="N26" s="11"/>
    </row>
    <row r="27">
      <c r="A27" s="6" t="s">
        <v>51</v>
      </c>
      <c r="B27" s="7">
        <v>462337.0</v>
      </c>
      <c r="C27" s="8">
        <v>2554.09</v>
      </c>
      <c r="D27" s="10">
        <f t="shared" si="1"/>
        <v>30649.08</v>
      </c>
      <c r="E27" s="11">
        <v>503.0</v>
      </c>
      <c r="F27" s="12">
        <f t="shared" si="2"/>
        <v>6036</v>
      </c>
      <c r="G27" s="10">
        <f>1456.88*12</f>
        <v>17482.56</v>
      </c>
      <c r="H27" s="13">
        <v>9600.0</v>
      </c>
      <c r="I27" s="12">
        <v>38554.0</v>
      </c>
      <c r="J27" s="11">
        <v>1334.0</v>
      </c>
      <c r="K27" s="11">
        <v>1802.0</v>
      </c>
      <c r="L27" s="14">
        <f t="shared" si="3"/>
        <v>95857.64</v>
      </c>
      <c r="N27" s="11"/>
    </row>
    <row r="28">
      <c r="A28" s="6" t="s">
        <v>52</v>
      </c>
      <c r="B28" s="7">
        <v>251933.0</v>
      </c>
      <c r="C28" s="8">
        <v>1391.76</v>
      </c>
      <c r="D28" s="10">
        <f t="shared" si="1"/>
        <v>16701.12</v>
      </c>
      <c r="E28" s="11">
        <v>484.0</v>
      </c>
      <c r="F28" s="12">
        <f t="shared" si="2"/>
        <v>5808</v>
      </c>
      <c r="G28" s="10">
        <f>1442.17*12</f>
        <v>17306.04</v>
      </c>
      <c r="H28" s="13">
        <v>9600.0</v>
      </c>
      <c r="I28" s="12">
        <v>35309.0</v>
      </c>
      <c r="J28" s="11">
        <v>1330.0</v>
      </c>
      <c r="K28" s="11">
        <v>1797.0</v>
      </c>
      <c r="L28" s="14">
        <f t="shared" si="3"/>
        <v>78251.16</v>
      </c>
      <c r="N28" s="11"/>
    </row>
    <row r="29">
      <c r="A29" s="6" t="s">
        <v>53</v>
      </c>
      <c r="B29" s="7">
        <v>405484.0</v>
      </c>
      <c r="C29" s="8">
        <v>2240.02</v>
      </c>
      <c r="D29" s="10">
        <f t="shared" si="1"/>
        <v>26880.24</v>
      </c>
      <c r="E29" s="11">
        <v>430.0</v>
      </c>
      <c r="F29" s="12">
        <f t="shared" si="2"/>
        <v>5160</v>
      </c>
      <c r="G29" s="10">
        <f>1501.03*12</f>
        <v>18012.36</v>
      </c>
      <c r="H29" s="13">
        <v>9600.0</v>
      </c>
      <c r="I29" s="12">
        <v>36723.0</v>
      </c>
      <c r="J29" s="11">
        <v>1336.0</v>
      </c>
      <c r="K29" s="11">
        <v>1805.0</v>
      </c>
      <c r="L29" s="14">
        <f t="shared" si="3"/>
        <v>89916.6</v>
      </c>
      <c r="N29" s="11"/>
    </row>
    <row r="30">
      <c r="A30" s="6" t="s">
        <v>54</v>
      </c>
      <c r="B30" s="7">
        <v>463093.0</v>
      </c>
      <c r="C30" s="8">
        <v>2558.27</v>
      </c>
      <c r="D30" s="10">
        <f t="shared" si="1"/>
        <v>30699.24</v>
      </c>
      <c r="E30" s="11">
        <v>525.0</v>
      </c>
      <c r="F30" s="12">
        <f t="shared" si="2"/>
        <v>6300</v>
      </c>
      <c r="G30" s="10">
        <f>1515.75*12</f>
        <v>18189</v>
      </c>
      <c r="H30" s="13">
        <v>9600.0</v>
      </c>
      <c r="I30" s="12">
        <v>42339.0</v>
      </c>
      <c r="J30" s="11">
        <v>1318.0</v>
      </c>
      <c r="K30" s="11">
        <v>1786.0</v>
      </c>
      <c r="L30" s="14">
        <f t="shared" si="3"/>
        <v>100631.24</v>
      </c>
      <c r="N30" s="11"/>
    </row>
    <row r="31">
      <c r="A31" s="6" t="s">
        <v>55</v>
      </c>
      <c r="B31" s="7">
        <v>472215.0</v>
      </c>
      <c r="C31" s="8">
        <v>2608.66</v>
      </c>
      <c r="D31" s="10">
        <f t="shared" si="1"/>
        <v>31303.92</v>
      </c>
      <c r="E31" s="11">
        <v>613.0</v>
      </c>
      <c r="F31" s="12">
        <f t="shared" si="2"/>
        <v>7356</v>
      </c>
      <c r="G31" s="10">
        <f>1530.46*12</f>
        <v>18365.52</v>
      </c>
      <c r="H31" s="13">
        <v>9600.0</v>
      </c>
      <c r="I31" s="12">
        <v>44669.0</v>
      </c>
      <c r="J31" s="11">
        <v>1408.0</v>
      </c>
      <c r="K31" s="11">
        <v>1882.0</v>
      </c>
      <c r="L31" s="14">
        <f t="shared" si="3"/>
        <v>104984.44</v>
      </c>
      <c r="N31" s="11"/>
    </row>
    <row r="32">
      <c r="A32" s="6" t="s">
        <v>56</v>
      </c>
      <c r="B32" s="7">
        <v>306366.0</v>
      </c>
      <c r="C32" s="8">
        <v>1692.46</v>
      </c>
      <c r="D32" s="10">
        <f t="shared" si="1"/>
        <v>20309.52</v>
      </c>
      <c r="E32" s="11">
        <v>384.0</v>
      </c>
      <c r="F32" s="12">
        <f t="shared" si="2"/>
        <v>4608</v>
      </c>
      <c r="G32" s="10">
        <f>1412.74*12</f>
        <v>16952.88</v>
      </c>
      <c r="H32" s="13">
        <v>9600.0</v>
      </c>
      <c r="I32" s="12">
        <v>34810.0</v>
      </c>
      <c r="J32" s="11">
        <v>1335.0</v>
      </c>
      <c r="K32" s="11">
        <v>1803.0</v>
      </c>
      <c r="L32" s="14">
        <f t="shared" si="3"/>
        <v>79818.4</v>
      </c>
      <c r="N32" s="11"/>
    </row>
    <row r="33">
      <c r="A33" s="6" t="s">
        <v>57</v>
      </c>
      <c r="B33" s="7">
        <v>318382.0</v>
      </c>
      <c r="C33" s="8">
        <v>1758.84</v>
      </c>
      <c r="D33" s="10">
        <f t="shared" si="1"/>
        <v>21106.08</v>
      </c>
      <c r="E33" s="11">
        <v>535.0</v>
      </c>
      <c r="F33" s="12">
        <f t="shared" si="2"/>
        <v>6420</v>
      </c>
      <c r="G33" s="10">
        <f>1501.03*12</f>
        <v>18012.36</v>
      </c>
      <c r="H33" s="13">
        <v>9600.0</v>
      </c>
      <c r="I33" s="12">
        <v>42880.0</v>
      </c>
      <c r="J33" s="11">
        <v>1430.0</v>
      </c>
      <c r="K33" s="11">
        <v>1905.0</v>
      </c>
      <c r="L33" s="14">
        <f t="shared" si="3"/>
        <v>91753.44</v>
      </c>
      <c r="N33" s="11"/>
    </row>
    <row r="34">
      <c r="A34" s="6" t="s">
        <v>58</v>
      </c>
      <c r="B34" s="7">
        <v>304948.0</v>
      </c>
      <c r="C34" s="8">
        <v>1684.63</v>
      </c>
      <c r="D34" s="10">
        <f t="shared" si="1"/>
        <v>20215.56</v>
      </c>
      <c r="E34" s="11">
        <v>493.0</v>
      </c>
      <c r="F34" s="12">
        <f t="shared" si="2"/>
        <v>5916</v>
      </c>
      <c r="G34" s="10">
        <f>1412.74*12</f>
        <v>16952.88</v>
      </c>
      <c r="H34" s="13">
        <v>9600.0</v>
      </c>
      <c r="I34" s="12">
        <v>33187.0</v>
      </c>
      <c r="J34" s="11">
        <v>1337.0</v>
      </c>
      <c r="K34" s="11">
        <v>1805.0</v>
      </c>
      <c r="L34" s="14">
        <f t="shared" si="3"/>
        <v>79413.44</v>
      </c>
      <c r="N34" s="11"/>
    </row>
    <row r="35">
      <c r="A35" s="6" t="s">
        <v>59</v>
      </c>
      <c r="B35" s="7">
        <v>246697.0</v>
      </c>
      <c r="C35" s="8">
        <v>1362.83</v>
      </c>
      <c r="D35" s="10">
        <f t="shared" si="1"/>
        <v>16353.96</v>
      </c>
      <c r="E35" s="11">
        <v>443.0</v>
      </c>
      <c r="F35" s="12">
        <f t="shared" si="2"/>
        <v>5316</v>
      </c>
      <c r="G35" s="10">
        <f>1442.17*12</f>
        <v>17306.04</v>
      </c>
      <c r="H35" s="13">
        <v>9600.0</v>
      </c>
      <c r="I35" s="12">
        <v>34352.0</v>
      </c>
      <c r="J35" s="11">
        <v>1303.0</v>
      </c>
      <c r="K35" s="11">
        <v>1766.0</v>
      </c>
      <c r="L35" s="14">
        <f t="shared" si="3"/>
        <v>76397</v>
      </c>
      <c r="N35" s="11"/>
    </row>
    <row r="36">
      <c r="A36" s="6" t="s">
        <v>60</v>
      </c>
      <c r="B36" s="7">
        <v>204988.0</v>
      </c>
      <c r="C36" s="8">
        <v>1132.42</v>
      </c>
      <c r="D36" s="10">
        <f t="shared" si="1"/>
        <v>13589.04</v>
      </c>
      <c r="E36" s="11">
        <v>590.0</v>
      </c>
      <c r="F36" s="12">
        <f t="shared" si="2"/>
        <v>7080</v>
      </c>
      <c r="G36" s="10">
        <f>1412.74*12</f>
        <v>16952.88</v>
      </c>
      <c r="H36" s="13">
        <v>9600.0</v>
      </c>
      <c r="I36" s="12">
        <v>37306.0</v>
      </c>
      <c r="J36" s="11">
        <v>1306.0</v>
      </c>
      <c r="K36" s="11">
        <v>1769.0</v>
      </c>
      <c r="L36" s="14">
        <f t="shared" si="3"/>
        <v>78002.92</v>
      </c>
      <c r="N36" s="11"/>
    </row>
    <row r="37">
      <c r="A37" s="6" t="s">
        <v>61</v>
      </c>
      <c r="B37" s="7">
        <v>197204.0</v>
      </c>
      <c r="C37" s="8">
        <v>1089.42</v>
      </c>
      <c r="D37" s="10">
        <f t="shared" si="1"/>
        <v>13073.04</v>
      </c>
      <c r="E37" s="11">
        <v>522.0</v>
      </c>
      <c r="F37" s="12">
        <f t="shared" si="2"/>
        <v>6264</v>
      </c>
      <c r="G37" s="10">
        <f>1398.02*12</f>
        <v>16776.24</v>
      </c>
      <c r="H37" s="13">
        <v>9600.0</v>
      </c>
      <c r="I37" s="12">
        <v>34810.0</v>
      </c>
      <c r="J37" s="11">
        <v>1310.0</v>
      </c>
      <c r="K37" s="11">
        <v>1775.0</v>
      </c>
      <c r="L37" s="14">
        <f t="shared" si="3"/>
        <v>74008.28</v>
      </c>
      <c r="N37" s="11"/>
    </row>
    <row r="38">
      <c r="A38" s="6" t="s">
        <v>62</v>
      </c>
      <c r="B38" s="7">
        <v>467854.0</v>
      </c>
      <c r="C38" s="8">
        <v>2584.57</v>
      </c>
      <c r="D38" s="10">
        <f t="shared" si="1"/>
        <v>31014.84</v>
      </c>
      <c r="E38" s="11">
        <v>628.0</v>
      </c>
      <c r="F38" s="12">
        <f t="shared" si="2"/>
        <v>7536</v>
      </c>
      <c r="G38" s="10">
        <f>1530.46*12</f>
        <v>18365.52</v>
      </c>
      <c r="H38" s="13">
        <v>9600.0</v>
      </c>
      <c r="I38" s="12">
        <v>42714.0</v>
      </c>
      <c r="J38" s="11">
        <v>1406.0</v>
      </c>
      <c r="K38" s="11">
        <v>1877.0</v>
      </c>
      <c r="L38" s="14">
        <f t="shared" si="3"/>
        <v>102913.36</v>
      </c>
      <c r="N38" s="11"/>
    </row>
    <row r="39">
      <c r="A39" s="6" t="s">
        <v>63</v>
      </c>
      <c r="B39" s="7">
        <v>246367.0</v>
      </c>
      <c r="C39" s="8">
        <v>1361.01</v>
      </c>
      <c r="D39" s="10">
        <f t="shared" si="1"/>
        <v>16332.12</v>
      </c>
      <c r="E39" s="11">
        <v>514.0</v>
      </c>
      <c r="F39" s="12">
        <f t="shared" si="2"/>
        <v>6168</v>
      </c>
      <c r="G39" s="10">
        <f>1471.6*12</f>
        <v>17659.2</v>
      </c>
      <c r="H39" s="13">
        <v>9600.0</v>
      </c>
      <c r="I39" s="12">
        <v>41341.0</v>
      </c>
      <c r="J39" s="11">
        <v>1313.0</v>
      </c>
      <c r="K39" s="11">
        <v>1775.0</v>
      </c>
      <c r="L39" s="14">
        <f t="shared" si="3"/>
        <v>84588.32</v>
      </c>
      <c r="N39" s="11"/>
    </row>
    <row r="40">
      <c r="A40" s="6" t="s">
        <v>64</v>
      </c>
      <c r="B40" s="7">
        <v>432623.0</v>
      </c>
      <c r="C40" s="8">
        <v>2389.94</v>
      </c>
      <c r="D40" s="10">
        <f t="shared" si="1"/>
        <v>28679.28</v>
      </c>
      <c r="E40" s="11">
        <v>561.0</v>
      </c>
      <c r="F40" s="12">
        <f t="shared" si="2"/>
        <v>6732</v>
      </c>
      <c r="G40" s="10">
        <f>1515.75*12</f>
        <v>18189</v>
      </c>
      <c r="H40" s="13">
        <v>9600.0</v>
      </c>
      <c r="I40" s="12">
        <v>42214.0</v>
      </c>
      <c r="J40" s="11">
        <v>1353.0</v>
      </c>
      <c r="K40" s="11">
        <v>1825.0</v>
      </c>
      <c r="L40" s="14">
        <f t="shared" si="3"/>
        <v>98992.28</v>
      </c>
      <c r="N40" s="11"/>
    </row>
    <row r="41">
      <c r="A41" s="6" t="s">
        <v>65</v>
      </c>
      <c r="B41" s="7">
        <v>283156.0</v>
      </c>
      <c r="C41" s="8">
        <v>1564.24</v>
      </c>
      <c r="D41" s="10">
        <f t="shared" si="1"/>
        <v>18770.88</v>
      </c>
      <c r="E41" s="11">
        <v>494.0</v>
      </c>
      <c r="F41" s="12">
        <f t="shared" si="2"/>
        <v>5928</v>
      </c>
      <c r="G41" s="10">
        <f>1398.02*12</f>
        <v>16776.24</v>
      </c>
      <c r="H41" s="13">
        <v>9600.0</v>
      </c>
      <c r="I41" s="12">
        <v>32896.0</v>
      </c>
      <c r="J41" s="11">
        <v>1335.0</v>
      </c>
      <c r="K41" s="11">
        <v>1804.0</v>
      </c>
      <c r="L41" s="14">
        <f t="shared" si="3"/>
        <v>77510.12</v>
      </c>
    </row>
    <row r="42">
      <c r="A42" s="6" t="s">
        <v>66</v>
      </c>
      <c r="B42" s="7">
        <v>282594.0</v>
      </c>
      <c r="C42" s="8">
        <v>1561.14</v>
      </c>
      <c r="D42" s="10">
        <f t="shared" si="1"/>
        <v>18733.68</v>
      </c>
      <c r="E42" s="11">
        <v>428.0</v>
      </c>
      <c r="F42" s="12">
        <f t="shared" si="2"/>
        <v>5136</v>
      </c>
      <c r="G42" s="10">
        <f>1442.17*12</f>
        <v>17306.04</v>
      </c>
      <c r="H42" s="13">
        <v>9600.0</v>
      </c>
      <c r="I42" s="12">
        <v>30774.0</v>
      </c>
      <c r="J42" s="11">
        <v>1313.0</v>
      </c>
      <c r="K42" s="11">
        <v>1775.0</v>
      </c>
      <c r="L42" s="14">
        <f t="shared" si="3"/>
        <v>75037.72</v>
      </c>
    </row>
    <row r="43">
      <c r="A43" s="6" t="s">
        <v>67</v>
      </c>
      <c r="B43" s="7">
        <v>312147.0</v>
      </c>
      <c r="C43" s="8">
        <v>1724.4</v>
      </c>
      <c r="D43" s="10">
        <f t="shared" si="1"/>
        <v>20692.8</v>
      </c>
      <c r="E43" s="11">
        <v>540.0</v>
      </c>
      <c r="F43" s="12">
        <f t="shared" si="2"/>
        <v>6480</v>
      </c>
      <c r="G43" s="10">
        <f>1412.74*12</f>
        <v>16952.88</v>
      </c>
      <c r="H43" s="13">
        <v>9600.0</v>
      </c>
      <c r="I43" s="12">
        <v>31024.0</v>
      </c>
      <c r="J43" s="11">
        <v>1327.0</v>
      </c>
      <c r="K43" s="11">
        <v>1792.0</v>
      </c>
      <c r="L43" s="14">
        <f t="shared" si="3"/>
        <v>78268.68</v>
      </c>
    </row>
    <row r="44">
      <c r="A44" s="6" t="s">
        <v>68</v>
      </c>
      <c r="B44" s="7">
        <v>275076.0</v>
      </c>
      <c r="C44" s="8">
        <v>1519.61</v>
      </c>
      <c r="D44" s="10">
        <f t="shared" si="1"/>
        <v>18235.32</v>
      </c>
      <c r="E44" s="11">
        <v>573.0</v>
      </c>
      <c r="F44" s="12">
        <f t="shared" si="2"/>
        <v>6876</v>
      </c>
      <c r="G44" s="10">
        <f>1427.45*12</f>
        <v>17129.4</v>
      </c>
      <c r="H44" s="13">
        <v>9600.0</v>
      </c>
      <c r="I44" s="12">
        <v>32272.0</v>
      </c>
      <c r="J44" s="11">
        <v>1345.0</v>
      </c>
      <c r="K44" s="11">
        <v>1812.0</v>
      </c>
      <c r="L44" s="14">
        <f t="shared" si="3"/>
        <v>77669.72</v>
      </c>
    </row>
    <row r="45">
      <c r="A45" s="6" t="s">
        <v>69</v>
      </c>
      <c r="B45" s="7">
        <v>459879.0</v>
      </c>
      <c r="C45" s="8">
        <v>2540.51</v>
      </c>
      <c r="D45" s="10">
        <f t="shared" si="1"/>
        <v>30486.12</v>
      </c>
      <c r="E45" s="11">
        <v>536.0</v>
      </c>
      <c r="F45" s="12">
        <f t="shared" si="2"/>
        <v>6432</v>
      </c>
      <c r="G45" s="10">
        <f>1456.88*12</f>
        <v>17482.56</v>
      </c>
      <c r="H45" s="13">
        <v>9600.0</v>
      </c>
      <c r="I45" s="12">
        <v>36557.0</v>
      </c>
      <c r="J45" s="11">
        <v>1365.0</v>
      </c>
      <c r="K45" s="11">
        <v>1838.0</v>
      </c>
      <c r="L45" s="14">
        <f t="shared" si="3"/>
        <v>94160.68</v>
      </c>
    </row>
    <row r="46">
      <c r="A46" s="6" t="s">
        <v>70</v>
      </c>
      <c r="B46" s="7">
        <v>403775.0</v>
      </c>
      <c r="C46" s="8">
        <v>2230.58</v>
      </c>
      <c r="D46" s="10">
        <f t="shared" si="1"/>
        <v>26766.96</v>
      </c>
      <c r="E46" s="11">
        <v>483.0</v>
      </c>
      <c r="F46" s="12">
        <f t="shared" si="2"/>
        <v>5796</v>
      </c>
      <c r="G46" s="10">
        <f>1545.18*12</f>
        <v>18542.16</v>
      </c>
      <c r="H46" s="13">
        <v>9600.0</v>
      </c>
      <c r="I46" s="12">
        <v>47872.0</v>
      </c>
      <c r="J46" s="11">
        <v>1350.0</v>
      </c>
      <c r="K46" s="11">
        <v>1822.0</v>
      </c>
      <c r="L46" s="14">
        <f t="shared" si="3"/>
        <v>102149.12</v>
      </c>
    </row>
    <row r="47">
      <c r="A47" s="6" t="s">
        <v>71</v>
      </c>
      <c r="B47" s="7">
        <v>330658.0</v>
      </c>
      <c r="C47" s="8">
        <v>1826.66</v>
      </c>
      <c r="D47" s="10">
        <f t="shared" si="1"/>
        <v>21919.92</v>
      </c>
      <c r="E47" s="11">
        <v>557.0</v>
      </c>
      <c r="F47" s="12">
        <f t="shared" si="2"/>
        <v>6684</v>
      </c>
      <c r="G47" s="10">
        <f>1486.32*12</f>
        <v>17835.84</v>
      </c>
      <c r="H47" s="13">
        <v>9600.0</v>
      </c>
      <c r="I47" s="12">
        <v>37930.0</v>
      </c>
      <c r="J47" s="11">
        <v>1370.0</v>
      </c>
      <c r="K47" s="11">
        <v>1840.0</v>
      </c>
      <c r="L47" s="14">
        <f t="shared" si="3"/>
        <v>87579.76</v>
      </c>
    </row>
    <row r="48">
      <c r="A48" s="6" t="s">
        <v>72</v>
      </c>
      <c r="B48" s="7">
        <v>544501.0</v>
      </c>
      <c r="C48" s="8">
        <v>3007.99</v>
      </c>
      <c r="D48" s="10">
        <f t="shared" si="1"/>
        <v>36095.88</v>
      </c>
      <c r="E48" s="11">
        <v>570.0</v>
      </c>
      <c r="F48" s="12">
        <f t="shared" si="2"/>
        <v>6840</v>
      </c>
      <c r="G48" s="10">
        <f>1589.33*12</f>
        <v>19071.96</v>
      </c>
      <c r="H48" s="13">
        <v>9600.0</v>
      </c>
      <c r="I48" s="12">
        <v>44627.0</v>
      </c>
      <c r="J48" s="11">
        <v>1338.0</v>
      </c>
      <c r="K48" s="11">
        <v>1807.0</v>
      </c>
      <c r="L48" s="14">
        <f t="shared" si="3"/>
        <v>109779.84</v>
      </c>
    </row>
    <row r="49">
      <c r="A49" s="6" t="s">
        <v>73</v>
      </c>
      <c r="B49" s="7">
        <v>163380.0</v>
      </c>
      <c r="C49" s="3">
        <v>902.56</v>
      </c>
      <c r="D49" s="10">
        <f t="shared" si="1"/>
        <v>10830.72</v>
      </c>
      <c r="E49" s="11">
        <v>715.0</v>
      </c>
      <c r="F49" s="12">
        <f t="shared" si="2"/>
        <v>8580</v>
      </c>
      <c r="G49" s="10">
        <f>1398.02*12</f>
        <v>16776.24</v>
      </c>
      <c r="H49" s="13">
        <v>9600.0</v>
      </c>
      <c r="I49" s="12">
        <v>32022.0</v>
      </c>
      <c r="J49" s="11">
        <v>1341.0</v>
      </c>
      <c r="K49" s="11">
        <v>1811.0</v>
      </c>
      <c r="L49" s="14">
        <f t="shared" si="3"/>
        <v>71360.96</v>
      </c>
    </row>
    <row r="50">
      <c r="A50" s="6" t="s">
        <v>74</v>
      </c>
      <c r="B50" s="7">
        <v>287687.0</v>
      </c>
      <c r="C50" s="8">
        <v>1589.27</v>
      </c>
      <c r="D50" s="10">
        <f t="shared" si="1"/>
        <v>19071.24</v>
      </c>
      <c r="E50" s="11">
        <v>418.0</v>
      </c>
      <c r="F50" s="12">
        <f t="shared" si="2"/>
        <v>5016</v>
      </c>
      <c r="G50" s="10">
        <f>1427.45*12</f>
        <v>17129.4</v>
      </c>
      <c r="H50" s="13">
        <v>9600.0</v>
      </c>
      <c r="I50" s="12">
        <v>37555.0</v>
      </c>
      <c r="J50" s="11">
        <v>1427.0</v>
      </c>
      <c r="K50" s="11">
        <v>1902.0</v>
      </c>
      <c r="L50" s="14">
        <f t="shared" si="3"/>
        <v>82100.64</v>
      </c>
    </row>
    <row r="51">
      <c r="A51" s="28" t="s">
        <v>75</v>
      </c>
      <c r="B51" s="7">
        <v>327513.0</v>
      </c>
      <c r="C51" s="8">
        <v>1809.28</v>
      </c>
      <c r="D51" s="10">
        <f t="shared" si="1"/>
        <v>21711.36</v>
      </c>
      <c r="E51" s="11">
        <v>575.0</v>
      </c>
      <c r="F51" s="12">
        <f t="shared" si="2"/>
        <v>6900</v>
      </c>
      <c r="G51" s="10">
        <f>1456.88*12</f>
        <v>17482.56</v>
      </c>
      <c r="H51" s="13">
        <v>9600.0</v>
      </c>
      <c r="I51" s="12">
        <v>32355.0</v>
      </c>
      <c r="J51" s="11">
        <v>1395.0</v>
      </c>
      <c r="K51" s="11">
        <v>1866.0</v>
      </c>
      <c r="L51" s="14">
        <f t="shared" si="3"/>
        <v>81709.92</v>
      </c>
    </row>
    <row r="52">
      <c r="A52" s="9"/>
      <c r="B52" s="7"/>
      <c r="C52" s="8"/>
      <c r="D52" s="10"/>
      <c r="E52" s="11"/>
      <c r="G52" s="10"/>
      <c r="L52" s="10"/>
    </row>
  </sheetData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  <c r="C1" s="2" t="s">
        <v>5</v>
      </c>
    </row>
    <row r="2">
      <c r="A2" s="4" t="s">
        <v>9</v>
      </c>
      <c r="B2" s="4">
        <v>240.25</v>
      </c>
      <c r="C2" s="2">
        <v>359.9</v>
      </c>
    </row>
    <row r="3">
      <c r="A3" s="4" t="s">
        <v>13</v>
      </c>
      <c r="B3" s="4">
        <v>234.5</v>
      </c>
      <c r="C3" s="2">
        <v>724.1</v>
      </c>
    </row>
    <row r="4">
      <c r="A4" s="4" t="s">
        <v>16</v>
      </c>
      <c r="B4" s="4">
        <v>241.0</v>
      </c>
      <c r="C4" s="2">
        <v>421.9</v>
      </c>
    </row>
    <row r="5">
      <c r="A5" s="4" t="s">
        <v>17</v>
      </c>
      <c r="B5" s="4">
        <v>240.25</v>
      </c>
      <c r="C5" s="2">
        <v>579.4</v>
      </c>
    </row>
    <row r="6">
      <c r="A6" s="4" t="s">
        <v>18</v>
      </c>
      <c r="B6" s="4">
        <v>242.0</v>
      </c>
      <c r="C6" s="2">
        <v>486.0</v>
      </c>
    </row>
    <row r="7">
      <c r="A7" s="4" t="s">
        <v>19</v>
      </c>
      <c r="B7" s="4">
        <v>250.75</v>
      </c>
      <c r="C7" s="2">
        <v>476.3</v>
      </c>
    </row>
    <row r="8">
      <c r="A8" s="4" t="s">
        <v>20</v>
      </c>
      <c r="B8" s="4">
        <v>249.5</v>
      </c>
      <c r="C8" s="2">
        <v>136.0</v>
      </c>
    </row>
    <row r="9">
      <c r="A9" s="4" t="s">
        <v>21</v>
      </c>
      <c r="B9" s="4">
        <v>238.75</v>
      </c>
      <c r="C9" s="2">
        <v>360.8</v>
      </c>
    </row>
    <row r="10">
      <c r="A10" s="4" t="s">
        <v>22</v>
      </c>
      <c r="B10" s="4">
        <v>245.25</v>
      </c>
      <c r="C10" s="2">
        <v>267.1</v>
      </c>
    </row>
    <row r="11">
      <c r="A11" s="4" t="s">
        <v>23</v>
      </c>
      <c r="B11" s="4">
        <v>244.5</v>
      </c>
      <c r="C11" s="2">
        <v>325.7</v>
      </c>
    </row>
    <row r="12">
      <c r="A12" s="4" t="s">
        <v>24</v>
      </c>
      <c r="B12" s="4">
        <v>245.5</v>
      </c>
      <c r="C12" s="2">
        <v>217.7</v>
      </c>
    </row>
    <row r="13">
      <c r="A13" s="4" t="s">
        <v>25</v>
      </c>
      <c r="B13" s="4">
        <v>248.25</v>
      </c>
      <c r="C13" s="2">
        <v>230.6</v>
      </c>
    </row>
    <row r="14">
      <c r="A14" s="4" t="s">
        <v>26</v>
      </c>
      <c r="B14" s="4">
        <v>247.25</v>
      </c>
      <c r="C14" s="2">
        <v>289.2</v>
      </c>
    </row>
    <row r="15">
      <c r="A15" s="4" t="s">
        <v>27</v>
      </c>
      <c r="B15" s="4">
        <v>250.0</v>
      </c>
      <c r="C15" s="2">
        <v>312.9</v>
      </c>
    </row>
    <row r="16">
      <c r="A16" s="4" t="s">
        <v>28</v>
      </c>
      <c r="B16" s="4">
        <v>247.0</v>
      </c>
      <c r="C16" s="2">
        <v>243.3</v>
      </c>
    </row>
    <row r="17">
      <c r="A17" s="4" t="s">
        <v>29</v>
      </c>
      <c r="B17" s="4">
        <v>244.75</v>
      </c>
      <c r="C17" s="2">
        <v>438.7</v>
      </c>
    </row>
    <row r="18">
      <c r="A18" s="4" t="s">
        <v>31</v>
      </c>
      <c r="B18" s="4">
        <v>246.25</v>
      </c>
      <c r="C18" s="2">
        <v>213.1</v>
      </c>
    </row>
    <row r="19">
      <c r="A19" s="4" t="s">
        <v>32</v>
      </c>
      <c r="B19" s="4">
        <v>243.75</v>
      </c>
      <c r="C19" s="2">
        <v>519.8</v>
      </c>
    </row>
    <row r="20">
      <c r="A20" s="4" t="s">
        <v>35</v>
      </c>
      <c r="B20" s="4">
        <v>242.75</v>
      </c>
      <c r="C20" s="2">
        <v>100.1</v>
      </c>
    </row>
    <row r="21">
      <c r="A21" s="4" t="s">
        <v>37</v>
      </c>
      <c r="B21" s="4">
        <v>244.0</v>
      </c>
      <c r="C21" s="2">
        <v>420.4</v>
      </c>
    </row>
    <row r="22">
      <c r="A22" s="4" t="s">
        <v>44</v>
      </c>
      <c r="B22" s="4">
        <v>255.5</v>
      </c>
      <c r="C22" s="2">
        <v>314.7</v>
      </c>
    </row>
    <row r="23">
      <c r="A23" s="4" t="s">
        <v>47</v>
      </c>
      <c r="B23" s="4">
        <v>242.25</v>
      </c>
      <c r="C23" s="2">
        <v>434.3</v>
      </c>
    </row>
    <row r="24">
      <c r="A24" s="4" t="s">
        <v>48</v>
      </c>
      <c r="B24" s="4">
        <v>249.25</v>
      </c>
      <c r="C24" s="2">
        <v>256.6</v>
      </c>
    </row>
    <row r="25">
      <c r="A25" s="4" t="s">
        <v>49</v>
      </c>
      <c r="B25" s="4">
        <v>245.0</v>
      </c>
      <c r="C25" s="2">
        <v>210.5</v>
      </c>
    </row>
    <row r="26">
      <c r="A26" s="4" t="s">
        <v>50</v>
      </c>
      <c r="B26" s="4">
        <v>243.0</v>
      </c>
      <c r="C26" s="2">
        <v>462.0</v>
      </c>
    </row>
    <row r="27">
      <c r="A27" s="4" t="s">
        <v>51</v>
      </c>
      <c r="B27" s="4">
        <v>248.75</v>
      </c>
      <c r="C27" s="2">
        <v>423.5</v>
      </c>
    </row>
    <row r="28">
      <c r="A28" s="4" t="s">
        <v>52</v>
      </c>
      <c r="B28" s="4">
        <v>246.5</v>
      </c>
      <c r="C28" s="2">
        <v>220.5</v>
      </c>
    </row>
    <row r="29">
      <c r="A29" s="4" t="s">
        <v>53</v>
      </c>
      <c r="B29" s="4">
        <v>241.0</v>
      </c>
      <c r="C29" s="2">
        <v>402.0</v>
      </c>
    </row>
    <row r="30">
      <c r="A30" s="4" t="s">
        <v>54</v>
      </c>
      <c r="B30" s="4">
        <v>251.75</v>
      </c>
      <c r="C30" s="2">
        <v>110.1</v>
      </c>
    </row>
    <row r="31">
      <c r="A31" s="4" t="s">
        <v>55</v>
      </c>
      <c r="B31" s="4">
        <v>252.5</v>
      </c>
      <c r="C31" s="2">
        <v>217.7</v>
      </c>
    </row>
    <row r="32">
      <c r="A32" s="4" t="s">
        <v>56</v>
      </c>
      <c r="B32" s="4">
        <v>231.5</v>
      </c>
      <c r="C32" s="2">
        <v>717.1</v>
      </c>
    </row>
    <row r="33">
      <c r="A33" s="4" t="s">
        <v>57</v>
      </c>
      <c r="B33" s="4">
        <v>244.25</v>
      </c>
      <c r="C33" s="2">
        <v>380.2</v>
      </c>
    </row>
    <row r="34">
      <c r="A34" s="4" t="s">
        <v>58</v>
      </c>
      <c r="B34" s="4">
        <v>245.75</v>
      </c>
      <c r="C34" s="2">
        <v>375.8</v>
      </c>
    </row>
    <row r="35">
      <c r="A35" s="4" t="s">
        <v>59</v>
      </c>
      <c r="B35" s="4">
        <v>248.5</v>
      </c>
      <c r="C35" s="2">
        <v>254.3</v>
      </c>
    </row>
    <row r="36">
      <c r="A36" s="4" t="s">
        <v>60</v>
      </c>
      <c r="B36" s="4">
        <v>248.5</v>
      </c>
      <c r="C36" s="2">
        <v>293.7</v>
      </c>
    </row>
    <row r="37">
      <c r="A37" s="4" t="s">
        <v>61</v>
      </c>
      <c r="B37" s="4">
        <v>238.25</v>
      </c>
      <c r="C37" s="2">
        <v>422.8</v>
      </c>
    </row>
    <row r="38">
      <c r="A38" s="4" t="s">
        <v>62</v>
      </c>
      <c r="B38" s="4">
        <v>239.75</v>
      </c>
      <c r="C38" s="2">
        <v>331.0</v>
      </c>
    </row>
    <row r="39">
      <c r="A39" s="4" t="s">
        <v>63</v>
      </c>
      <c r="B39" s="4">
        <v>247.25</v>
      </c>
      <c r="C39" s="2">
        <v>245.6</v>
      </c>
    </row>
    <row r="40">
      <c r="A40" s="4" t="s">
        <v>64</v>
      </c>
      <c r="B40" s="4">
        <v>245.25</v>
      </c>
      <c r="C40" s="2">
        <v>153.6</v>
      </c>
    </row>
    <row r="41">
      <c r="A41" s="4" t="s">
        <v>65</v>
      </c>
      <c r="B41" s="4">
        <v>243.75</v>
      </c>
      <c r="C41" s="2">
        <v>436.7</v>
      </c>
    </row>
    <row r="42">
      <c r="A42" s="4" t="s">
        <v>66</v>
      </c>
      <c r="B42" s="4">
        <v>248.75</v>
      </c>
      <c r="C42" s="2">
        <v>362.3</v>
      </c>
    </row>
    <row r="43">
      <c r="A43" s="4" t="s">
        <v>67</v>
      </c>
      <c r="B43" s="4">
        <v>247.5</v>
      </c>
      <c r="C43" s="2">
        <v>592.3</v>
      </c>
    </row>
    <row r="44">
      <c r="A44" s="4" t="s">
        <v>68</v>
      </c>
      <c r="B44" s="4">
        <v>243.5</v>
      </c>
      <c r="C44" s="2">
        <v>389.4</v>
      </c>
    </row>
    <row r="45">
      <c r="A45" s="4" t="s">
        <v>69</v>
      </c>
      <c r="B45" s="4">
        <v>251.0</v>
      </c>
      <c r="C45" s="2">
        <v>229.6</v>
      </c>
    </row>
    <row r="46">
      <c r="A46" s="4" t="s">
        <v>70</v>
      </c>
      <c r="B46" s="4">
        <v>245.25</v>
      </c>
      <c r="C46" s="2">
        <v>219.1</v>
      </c>
    </row>
    <row r="47">
      <c r="A47" s="4" t="s">
        <v>71</v>
      </c>
      <c r="B47" s="4">
        <v>245.75</v>
      </c>
      <c r="C47" s="2">
        <v>217.9</v>
      </c>
    </row>
    <row r="48">
      <c r="A48" s="4" t="s">
        <v>72</v>
      </c>
      <c r="B48" s="4">
        <v>246.75</v>
      </c>
      <c r="C48" s="2">
        <v>326.1</v>
      </c>
    </row>
    <row r="49">
      <c r="A49" s="4" t="s">
        <v>73</v>
      </c>
      <c r="B49" s="4">
        <v>236.5</v>
      </c>
      <c r="C49" s="2">
        <v>248.8</v>
      </c>
    </row>
    <row r="50">
      <c r="A50" s="4" t="s">
        <v>74</v>
      </c>
      <c r="B50" s="4">
        <v>249.25</v>
      </c>
      <c r="C50" s="2">
        <v>278.5</v>
      </c>
    </row>
    <row r="51">
      <c r="A51" s="4" t="s">
        <v>75</v>
      </c>
      <c r="B51" s="4">
        <v>250.75</v>
      </c>
      <c r="C51" s="2">
        <v>203.4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11" max="11" width="16.75"/>
  </cols>
  <sheetData>
    <row r="1">
      <c r="B1" s="1" t="s">
        <v>30</v>
      </c>
      <c r="C1" s="1" t="s">
        <v>33</v>
      </c>
      <c r="D1" s="1" t="s">
        <v>34</v>
      </c>
      <c r="E1" s="1" t="s">
        <v>36</v>
      </c>
      <c r="F1" s="1" t="s">
        <v>38</v>
      </c>
      <c r="G1" s="1" t="s">
        <v>39</v>
      </c>
      <c r="H1" s="3" t="s">
        <v>40</v>
      </c>
      <c r="I1" s="1" t="s">
        <v>41</v>
      </c>
      <c r="J1" s="1" t="s">
        <v>42</v>
      </c>
      <c r="K1" s="1" t="s">
        <v>43</v>
      </c>
      <c r="L1" s="1" t="s">
        <v>45</v>
      </c>
      <c r="M1" s="1" t="s">
        <v>46</v>
      </c>
    </row>
    <row r="2">
      <c r="A2" s="9"/>
      <c r="B2" s="12">
        <f>average(fact_costs!I2:I51)</f>
        <v>37151.06</v>
      </c>
      <c r="C2" s="7">
        <f>AVERAGE(fact_costs!B2:B51)</f>
        <v>343123.92</v>
      </c>
      <c r="D2" s="8">
        <f>AVERAGE(fact_costs!C2:C51)</f>
        <v>1895.523</v>
      </c>
      <c r="E2" s="10">
        <f>D2*12</f>
        <v>22746.276</v>
      </c>
      <c r="F2" s="11">
        <v>594.0</v>
      </c>
      <c r="G2" s="12">
        <f>F2*12</f>
        <v>7128</v>
      </c>
      <c r="H2" s="10">
        <f>12*1339.52</f>
        <v>16074.24</v>
      </c>
      <c r="I2" s="12">
        <f>average(fact_costs!J2:J52)</f>
        <v>1350.72</v>
      </c>
      <c r="J2" s="12">
        <f>average(fact_costs!K2:K52)</f>
        <v>1819.9</v>
      </c>
      <c r="K2" s="14">
        <f>H2+G2+E2+I2+J2+B2</f>
        <v>86270.196</v>
      </c>
      <c r="L2" s="2">
        <v>246.0</v>
      </c>
      <c r="M2" s="15">
        <v>327.6</v>
      </c>
    </row>
    <row r="4">
      <c r="A4" s="16"/>
      <c r="B4" s="16"/>
      <c r="C4" s="16"/>
      <c r="D4" s="16"/>
    </row>
    <row r="5">
      <c r="A5" s="17" t="s">
        <v>76</v>
      </c>
      <c r="B5" s="18">
        <f>STDEV(fact_costs!I2:I51)</f>
        <v>6022.851926</v>
      </c>
      <c r="C5" s="16">
        <f>STDEV(fact_costs!B2:B51)</f>
        <v>139267.7523</v>
      </c>
      <c r="D5" s="18">
        <f>STDEV(fact_costs!C2:C51)</f>
        <v>769.3581554</v>
      </c>
      <c r="E5" s="4">
        <f>STDEV(fact_costs!D2:D51)</f>
        <v>9232.297865</v>
      </c>
      <c r="F5" s="4">
        <f>STDEV(fact_costs!E2:E51)</f>
        <v>63.47882179</v>
      </c>
      <c r="G5" s="4">
        <f>STDEV(fact_costs!F2:F51)</f>
        <v>761.7458615</v>
      </c>
      <c r="H5" s="4">
        <f>STDEV(fact_costs!G2:G51)</f>
        <v>1195.706222</v>
      </c>
      <c r="I5" s="4">
        <f>STDEV(fact_costs!J2:J51)</f>
        <v>36.38515059</v>
      </c>
      <c r="J5" s="4">
        <f>STDEV(fact_costs!K2:K51)</f>
        <v>39.25596276</v>
      </c>
      <c r="K5" s="4">
        <f>STDEV(fact_costs!L2:L51)</f>
        <v>14940.62975</v>
      </c>
      <c r="L5" s="4">
        <f>STDEV(fact_metrics!B2:B51)</f>
        <v>4.678860405</v>
      </c>
      <c r="M5" s="4">
        <f>STDEV(fact_metrics!C2:C51)</f>
        <v>139.6499134</v>
      </c>
    </row>
    <row r="13">
      <c r="A13" s="9"/>
    </row>
  </sheetData>
  <conditionalFormatting sqref="L2">
    <cfRule type="cellIs" dxfId="5" priority="1" operator="greaterThan">
      <formula>246</formula>
    </cfRule>
  </conditionalFormatting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9.5"/>
    <col customWidth="1" min="3" max="3" width="16.75"/>
    <col customWidth="1" min="4" max="4" width="23.88"/>
    <col customWidth="1" min="5" max="5" width="14.38"/>
    <col customWidth="1" min="6" max="6" width="25.88"/>
    <col customWidth="1" min="7" max="7" width="24.13"/>
  </cols>
  <sheetData>
    <row r="1">
      <c r="A1" s="1" t="s">
        <v>77</v>
      </c>
      <c r="B1" s="2">
        <v>246.0</v>
      </c>
      <c r="C1" s="15">
        <v>327.6</v>
      </c>
      <c r="D1" s="11">
        <v>86462.19600000001</v>
      </c>
    </row>
    <row r="2">
      <c r="A2" s="1" t="s">
        <v>78</v>
      </c>
      <c r="B2" s="4">
        <v>4.678860405470286</v>
      </c>
      <c r="C2" s="4">
        <v>139.64991343516465</v>
      </c>
      <c r="D2" s="4">
        <f>stdev(fact_costs!L2:L51)</f>
        <v>14940.62975</v>
      </c>
    </row>
    <row r="3">
      <c r="A3" s="1"/>
      <c r="B3" s="1"/>
      <c r="C3" s="1"/>
    </row>
    <row r="4" ht="22.5" customHeight="1">
      <c r="A4" s="19" t="s">
        <v>79</v>
      </c>
      <c r="B4" s="19" t="s">
        <v>80</v>
      </c>
      <c r="C4" s="19" t="s">
        <v>81</v>
      </c>
      <c r="D4" s="19" t="s">
        <v>82</v>
      </c>
      <c r="E4" s="19" t="s">
        <v>83</v>
      </c>
      <c r="F4" s="20" t="s">
        <v>84</v>
      </c>
      <c r="G4" s="20" t="s">
        <v>85</v>
      </c>
    </row>
    <row r="5" ht="22.5" customHeight="1">
      <c r="A5" s="21" t="s">
        <v>54</v>
      </c>
      <c r="B5" s="22">
        <f>(fact_metrics!B30-$B$1)/$B$2</f>
        <v>1.228931727</v>
      </c>
      <c r="C5" s="22">
        <f>-(fact_metrics!C30-$C$1)/$C$2</f>
        <v>1.557466057</v>
      </c>
      <c r="D5" s="23">
        <f>-(fact_costs!L30-$D$1)/$D$2</f>
        <v>-0.9483565441</v>
      </c>
      <c r="E5" s="22">
        <f t="shared" ref="E5:E54" si="1">average(B5:D5)</f>
        <v>0.6126804133</v>
      </c>
      <c r="F5" s="24">
        <f t="shared" ref="F5:F54" si="2">AVERAGE((B5*0.5)+(C5*0.4)+(D5*0.1))</f>
        <v>1.142616632</v>
      </c>
      <c r="G5" s="24">
        <f t="shared" ref="G5:G54" si="3">AVERAGE((D5*0.5)+(B5*0.3)+(C5*0.2))</f>
        <v>0.2059944575</v>
      </c>
    </row>
    <row r="6" ht="22.5" customHeight="1">
      <c r="A6" s="21" t="s">
        <v>75</v>
      </c>
      <c r="B6" s="22">
        <f>(fact_metrics!B51-$B$1)/$B$2</f>
        <v>1.01520447</v>
      </c>
      <c r="C6" s="22">
        <f>-(fact_metrics!C51-$C$1)/$C$2</f>
        <v>0.8893668241</v>
      </c>
      <c r="D6" s="23">
        <f>-(fact_costs!L51-$D$1)/$D$2</f>
        <v>0.3180773554</v>
      </c>
      <c r="E6" s="22">
        <f t="shared" si="1"/>
        <v>0.7408828833</v>
      </c>
      <c r="F6" s="24">
        <f t="shared" si="2"/>
        <v>0.8951567004</v>
      </c>
      <c r="G6" s="24">
        <f t="shared" si="3"/>
        <v>0.6414733836</v>
      </c>
    </row>
    <row r="7" ht="22.5" customHeight="1">
      <c r="A7" s="21" t="s">
        <v>55</v>
      </c>
      <c r="B7" s="22">
        <f>(fact_metrics!B31-$B$1)/$B$2</f>
        <v>1.38922717</v>
      </c>
      <c r="C7" s="22">
        <f>-(fact_metrics!C31-$C$1)/$C$2</f>
        <v>0.7869679064</v>
      </c>
      <c r="D7" s="23">
        <f>-(fact_costs!L31-$D$1)/$D$2</f>
        <v>-1.239723111</v>
      </c>
      <c r="E7" s="22">
        <f t="shared" si="1"/>
        <v>0.3121573218</v>
      </c>
      <c r="F7" s="24">
        <f t="shared" si="2"/>
        <v>0.8854284364</v>
      </c>
      <c r="G7" s="24">
        <f t="shared" si="3"/>
        <v>-0.04569982325</v>
      </c>
    </row>
    <row r="8" ht="22.5" customHeight="1">
      <c r="A8" s="21" t="s">
        <v>44</v>
      </c>
      <c r="B8" s="22">
        <f>(fact_metrics!B22-$B$1)/$B$2</f>
        <v>2.030408941</v>
      </c>
      <c r="C8" s="22">
        <f>-(fact_metrics!C22-$C$1)/$C$2</f>
        <v>0.09237384888</v>
      </c>
      <c r="D8" s="23">
        <f>-(fact_costs!L22-$D$1)/$D$2</f>
        <v>-2.214613744</v>
      </c>
      <c r="E8" s="22">
        <f t="shared" si="1"/>
        <v>-0.03061031816</v>
      </c>
      <c r="F8" s="24">
        <f t="shared" si="2"/>
        <v>0.8306926355</v>
      </c>
      <c r="G8" s="24">
        <f t="shared" si="3"/>
        <v>-0.4797094201</v>
      </c>
    </row>
    <row r="9" ht="22.5" customHeight="1">
      <c r="A9" s="21" t="s">
        <v>20</v>
      </c>
      <c r="B9" s="22">
        <f>(fact_metrics!B8-$B$1)/$B$2</f>
        <v>0.7480453992</v>
      </c>
      <c r="C9" s="22">
        <f>-(fact_metrics!C8-$C$1)/$C$2</f>
        <v>1.372002283</v>
      </c>
      <c r="D9" s="23">
        <f>-(fact_costs!L8-$D$1)/$D$2</f>
        <v>-1.17969619</v>
      </c>
      <c r="E9" s="22">
        <f t="shared" si="1"/>
        <v>0.3134504972</v>
      </c>
      <c r="F9" s="24">
        <f t="shared" si="2"/>
        <v>0.8048539936</v>
      </c>
      <c r="G9" s="24">
        <f t="shared" si="3"/>
        <v>-0.0910340188</v>
      </c>
    </row>
    <row r="10" ht="22.5" customHeight="1">
      <c r="A10" s="21" t="s">
        <v>69</v>
      </c>
      <c r="B10" s="22">
        <f>(fact_metrics!B45-$B$1)/$B$2</f>
        <v>1.068636285</v>
      </c>
      <c r="C10" s="22">
        <f>-(fact_metrics!C45-$C$1)/$C$2</f>
        <v>0.701754821</v>
      </c>
      <c r="D10" s="23">
        <f>-(fact_costs!L45-$D$1)/$D$2</f>
        <v>-0.5152717206</v>
      </c>
      <c r="E10" s="22">
        <f t="shared" si="1"/>
        <v>0.4183731283</v>
      </c>
      <c r="F10" s="24">
        <f t="shared" si="2"/>
        <v>0.7634928986</v>
      </c>
      <c r="G10" s="24">
        <f t="shared" si="3"/>
        <v>0.2033059893</v>
      </c>
    </row>
    <row r="11" ht="22.5" customHeight="1">
      <c r="A11" s="21" t="s">
        <v>59</v>
      </c>
      <c r="B11" s="22">
        <f>(fact_metrics!B35-$B$1)/$B$2</f>
        <v>0.5343181423</v>
      </c>
      <c r="C11" s="22">
        <f>-(fact_metrics!C35-$C$1)/$C$2</f>
        <v>0.524883963</v>
      </c>
      <c r="D11" s="23">
        <f>-(fact_costs!L35-$D$1)/$D$2</f>
        <v>0.6736795012</v>
      </c>
      <c r="E11" s="22">
        <f t="shared" si="1"/>
        <v>0.5776272022</v>
      </c>
      <c r="F11" s="24">
        <f t="shared" si="2"/>
        <v>0.5444806065</v>
      </c>
      <c r="G11" s="24">
        <f t="shared" si="3"/>
        <v>0.6021119859</v>
      </c>
    </row>
    <row r="12" ht="22.5" customHeight="1">
      <c r="A12" s="21" t="s">
        <v>48</v>
      </c>
      <c r="B12" s="22">
        <f>(fact_metrics!B24-$B$1)/$B$2</f>
        <v>0.694613585</v>
      </c>
      <c r="C12" s="22">
        <f>-(fact_metrics!C24-$C$1)/$C$2</f>
        <v>0.508414207</v>
      </c>
      <c r="D12" s="23">
        <f>-(fact_costs!L24-$D$1)/$D$2</f>
        <v>-0.235703853</v>
      </c>
      <c r="E12" s="22">
        <f t="shared" si="1"/>
        <v>0.322441313</v>
      </c>
      <c r="F12" s="24">
        <f t="shared" si="2"/>
        <v>0.52710209</v>
      </c>
      <c r="G12" s="24">
        <f t="shared" si="3"/>
        <v>0.1922149904</v>
      </c>
    </row>
    <row r="13" ht="22.5" customHeight="1">
      <c r="A13" s="21" t="s">
        <v>27</v>
      </c>
      <c r="B13" s="22">
        <f>(fact_metrics!B15-$B$1)/$B$2</f>
        <v>0.8549090277</v>
      </c>
      <c r="C13" s="22">
        <f>-(fact_metrics!C15-$C$1)/$C$2</f>
        <v>0.1052632231</v>
      </c>
      <c r="D13" s="23">
        <f>-(fact_costs!L15-$D$1)/$D$2</f>
        <v>0.510623456</v>
      </c>
      <c r="E13" s="22">
        <f t="shared" si="1"/>
        <v>0.4902652356</v>
      </c>
      <c r="F13" s="24">
        <f t="shared" si="2"/>
        <v>0.5206221487</v>
      </c>
      <c r="G13" s="24">
        <f t="shared" si="3"/>
        <v>0.5328370809</v>
      </c>
    </row>
    <row r="14" ht="22.5" customHeight="1">
      <c r="A14" s="21" t="s">
        <v>74</v>
      </c>
      <c r="B14" s="22">
        <f>(fact_metrics!B50-$B$1)/$B$2</f>
        <v>0.694613585</v>
      </c>
      <c r="C14" s="22">
        <f>-(fact_metrics!C50-$C$1)/$C$2</f>
        <v>0.3515934868</v>
      </c>
      <c r="D14" s="23">
        <f>-(fact_costs!L50-$D$1)/$D$2</f>
        <v>0.2919258473</v>
      </c>
      <c r="E14" s="22">
        <f t="shared" si="1"/>
        <v>0.4460443064</v>
      </c>
      <c r="F14" s="24">
        <f t="shared" si="2"/>
        <v>0.517136772</v>
      </c>
      <c r="G14" s="24">
        <f t="shared" si="3"/>
        <v>0.4246656965</v>
      </c>
    </row>
    <row r="15" ht="22.5" customHeight="1">
      <c r="A15" s="21" t="s">
        <v>25</v>
      </c>
      <c r="B15" s="22">
        <f>(fact_metrics!B13-$B$1)/$B$2</f>
        <v>0.4808863281</v>
      </c>
      <c r="C15" s="22">
        <f>-(fact_metrics!C13-$C$1)/$C$2</f>
        <v>0.6945940575</v>
      </c>
      <c r="D15" s="23">
        <f>-(fact_costs!L13-$D$1)/$D$2</f>
        <v>-0.1641566681</v>
      </c>
      <c r="E15" s="22">
        <f t="shared" si="1"/>
        <v>0.3371079058</v>
      </c>
      <c r="F15" s="24">
        <f t="shared" si="2"/>
        <v>0.5018651202</v>
      </c>
      <c r="G15" s="24">
        <f t="shared" si="3"/>
        <v>0.2011063759</v>
      </c>
    </row>
    <row r="16" ht="22.5" customHeight="1">
      <c r="A16" s="21" t="s">
        <v>31</v>
      </c>
      <c r="B16" s="22">
        <f>(fact_metrics!B18-$B$1)/$B$2</f>
        <v>0.05343181423</v>
      </c>
      <c r="C16" s="22">
        <f>-(fact_metrics!C18-$C$1)/$C$2</f>
        <v>0.8199074184</v>
      </c>
      <c r="D16" s="23">
        <f>-(fact_costs!L18-$D$1)/$D$2</f>
        <v>1.034421993</v>
      </c>
      <c r="E16" s="22">
        <f t="shared" si="1"/>
        <v>0.6359204084</v>
      </c>
      <c r="F16" s="24">
        <f t="shared" si="2"/>
        <v>0.4581210737</v>
      </c>
      <c r="G16" s="24">
        <f t="shared" si="3"/>
        <v>0.6972220242</v>
      </c>
    </row>
    <row r="17" ht="22.5" customHeight="1">
      <c r="A17" s="21" t="s">
        <v>28</v>
      </c>
      <c r="B17" s="22">
        <f>(fact_metrics!B16-$B$1)/$B$2</f>
        <v>0.2137272569</v>
      </c>
      <c r="C17" s="22">
        <f>-(fact_metrics!C16-$C$1)/$C$2</f>
        <v>0.6036523613</v>
      </c>
      <c r="D17" s="23">
        <f>-(fact_costs!L16-$D$1)/$D$2</f>
        <v>0.9811123253</v>
      </c>
      <c r="E17" s="22">
        <f t="shared" si="1"/>
        <v>0.5994973145</v>
      </c>
      <c r="F17" s="24">
        <f t="shared" si="2"/>
        <v>0.4464358055</v>
      </c>
      <c r="G17" s="24">
        <f t="shared" si="3"/>
        <v>0.675404812</v>
      </c>
    </row>
    <row r="18" ht="22.5" customHeight="1">
      <c r="A18" s="21" t="s">
        <v>60</v>
      </c>
      <c r="B18" s="22">
        <f>(fact_metrics!B36-$B$1)/$B$2</f>
        <v>0.5343181423</v>
      </c>
      <c r="C18" s="22">
        <f>-(fact_metrics!C36-$C$1)/$C$2</f>
        <v>0.2427498819</v>
      </c>
      <c r="D18" s="23">
        <f>-(fact_costs!L36-$D$1)/$D$2</f>
        <v>0.5661927335</v>
      </c>
      <c r="E18" s="22">
        <f t="shared" si="1"/>
        <v>0.4477535859</v>
      </c>
      <c r="F18" s="24">
        <f t="shared" si="2"/>
        <v>0.4208782973</v>
      </c>
      <c r="G18" s="24">
        <f t="shared" si="3"/>
        <v>0.4919417858</v>
      </c>
    </row>
    <row r="19" ht="22.5" customHeight="1">
      <c r="A19" s="21" t="s">
        <v>52</v>
      </c>
      <c r="B19" s="22">
        <f>(fact_metrics!B28-$B$1)/$B$2</f>
        <v>0.1068636285</v>
      </c>
      <c r="C19" s="22">
        <f>-(fact_metrics!C28-$C$1)/$C$2</f>
        <v>0.7669177686</v>
      </c>
      <c r="D19" s="23">
        <f>-(fact_costs!L28-$D$1)/$D$2</f>
        <v>0.5495776373</v>
      </c>
      <c r="E19" s="22">
        <f t="shared" si="1"/>
        <v>0.4744530115</v>
      </c>
      <c r="F19" s="24">
        <f t="shared" si="2"/>
        <v>0.4151566854</v>
      </c>
      <c r="G19" s="24">
        <f t="shared" si="3"/>
        <v>0.4602314609</v>
      </c>
    </row>
    <row r="20" ht="22.5" customHeight="1">
      <c r="A20" s="21" t="s">
        <v>63</v>
      </c>
      <c r="B20" s="22">
        <f>(fact_metrics!B39-$B$1)/$B$2</f>
        <v>0.2671590712</v>
      </c>
      <c r="C20" s="22">
        <f>-(fact_metrics!C39-$C$1)/$C$2</f>
        <v>0.5871826053</v>
      </c>
      <c r="D20" s="23">
        <f>-(fact_costs!L39-$D$1)/$D$2</f>
        <v>0.125421487</v>
      </c>
      <c r="E20" s="22">
        <f t="shared" si="1"/>
        <v>0.3265877211</v>
      </c>
      <c r="F20" s="24">
        <f t="shared" si="2"/>
        <v>0.3809947264</v>
      </c>
      <c r="G20" s="24">
        <f t="shared" si="3"/>
        <v>0.2602949859</v>
      </c>
    </row>
    <row r="21" ht="22.5" customHeight="1">
      <c r="A21" s="21" t="s">
        <v>49</v>
      </c>
      <c r="B21" s="22">
        <f>(fact_metrics!B25-$B$1)/$B$2</f>
        <v>-0.2137272569</v>
      </c>
      <c r="C21" s="22">
        <f>-(fact_metrics!C25-$C$1)/$C$2</f>
        <v>0.8385254034</v>
      </c>
      <c r="D21" s="23">
        <f>-(fact_costs!L25-$D$1)/$D$2</f>
        <v>1.296606389</v>
      </c>
      <c r="E21" s="22">
        <f t="shared" si="1"/>
        <v>0.6404681786</v>
      </c>
      <c r="F21" s="24">
        <f t="shared" si="2"/>
        <v>0.3582071718</v>
      </c>
      <c r="G21" s="24">
        <f t="shared" si="3"/>
        <v>0.7518900983</v>
      </c>
    </row>
    <row r="22" ht="22.5" customHeight="1">
      <c r="A22" s="21" t="s">
        <v>64</v>
      </c>
      <c r="B22" s="22">
        <f>(fact_metrics!B40-$B$1)/$B$2</f>
        <v>-0.1602954427</v>
      </c>
      <c r="C22" s="22">
        <f>-(fact_metrics!C40-$C$1)/$C$2</f>
        <v>1.245972845</v>
      </c>
      <c r="D22" s="23">
        <f>-(fact_costs!L40-$D$1)/$D$2</f>
        <v>-0.8386583569</v>
      </c>
      <c r="E22" s="22">
        <f t="shared" si="1"/>
        <v>0.08233968194</v>
      </c>
      <c r="F22" s="24">
        <f t="shared" si="2"/>
        <v>0.3343755811</v>
      </c>
      <c r="G22" s="24">
        <f t="shared" si="3"/>
        <v>-0.2182232422</v>
      </c>
    </row>
    <row r="23" ht="22.5" customHeight="1">
      <c r="A23" s="21" t="s">
        <v>26</v>
      </c>
      <c r="B23" s="22">
        <f>(fact_metrics!B14-$B$1)/$B$2</f>
        <v>0.2671590712</v>
      </c>
      <c r="C23" s="22">
        <f>-(fact_metrics!C14-$C$1)/$C$2</f>
        <v>0.2749733176</v>
      </c>
      <c r="D23" s="23">
        <f>-(fact_costs!L14-$D$1)/$D$2</f>
        <v>0.4441978758</v>
      </c>
      <c r="E23" s="22">
        <f t="shared" si="1"/>
        <v>0.3287767549</v>
      </c>
      <c r="F23" s="24">
        <f t="shared" si="2"/>
        <v>0.2879886502</v>
      </c>
      <c r="G23" s="24">
        <f t="shared" si="3"/>
        <v>0.3572413228</v>
      </c>
    </row>
    <row r="24" ht="22.5" customHeight="1">
      <c r="A24" s="21" t="s">
        <v>71</v>
      </c>
      <c r="B24" s="22">
        <f>(fact_metrics!B47-$B$1)/$B$2</f>
        <v>-0.05343181423</v>
      </c>
      <c r="C24" s="22">
        <f>-(fact_metrics!C47-$C$1)/$C$2</f>
        <v>0.7855357537</v>
      </c>
      <c r="D24" s="23">
        <f>-(fact_costs!L47-$D$1)/$D$2</f>
        <v>-0.07480032759</v>
      </c>
      <c r="E24" s="22">
        <f t="shared" si="1"/>
        <v>0.2191012039</v>
      </c>
      <c r="F24" s="24">
        <f t="shared" si="2"/>
        <v>0.2800183616</v>
      </c>
      <c r="G24" s="24">
        <f t="shared" si="3"/>
        <v>0.1036774427</v>
      </c>
    </row>
    <row r="25" ht="22.5" customHeight="1">
      <c r="A25" s="21" t="s">
        <v>66</v>
      </c>
      <c r="B25" s="22">
        <f>(fact_metrics!B42-$B$1)/$B$2</f>
        <v>0.5877499565</v>
      </c>
      <c r="C25" s="22">
        <f>-(fact_metrics!C42-$C$1)/$C$2</f>
        <v>-0.2484784927</v>
      </c>
      <c r="D25" s="23">
        <f>-(fact_costs!L42-$D$1)/$D$2</f>
        <v>0.7646582633</v>
      </c>
      <c r="E25" s="22">
        <f t="shared" si="1"/>
        <v>0.3679765757</v>
      </c>
      <c r="F25" s="24">
        <f t="shared" si="2"/>
        <v>0.2709494075</v>
      </c>
      <c r="G25" s="24">
        <f t="shared" si="3"/>
        <v>0.5089584201</v>
      </c>
    </row>
    <row r="26" ht="22.5" customHeight="1">
      <c r="A26" s="21" t="s">
        <v>35</v>
      </c>
      <c r="B26" s="22">
        <f>(fact_metrics!B20-$B$1)/$B$2</f>
        <v>-0.694613585</v>
      </c>
      <c r="C26" s="22">
        <f>-(fact_metrics!C20-$C$1)/$C$2</f>
        <v>1.629073692</v>
      </c>
      <c r="D26" s="23">
        <f>-(fact_costs!L20-$D$1)/$D$2</f>
        <v>-0.3984493357</v>
      </c>
      <c r="E26" s="22">
        <f t="shared" si="1"/>
        <v>0.1786702569</v>
      </c>
      <c r="F26" s="24">
        <f t="shared" si="2"/>
        <v>0.2644777505</v>
      </c>
      <c r="G26" s="24">
        <f t="shared" si="3"/>
        <v>-0.08179400503</v>
      </c>
    </row>
    <row r="27" ht="22.5" customHeight="1">
      <c r="A27" s="21" t="s">
        <v>70</v>
      </c>
      <c r="B27" s="22">
        <f>(fact_metrics!B46-$B$1)/$B$2</f>
        <v>-0.1602954427</v>
      </c>
      <c r="C27" s="22">
        <f>-(fact_metrics!C46-$C$1)/$C$2</f>
        <v>0.7769428375</v>
      </c>
      <c r="D27" s="23">
        <f>-(fact_costs!L46-$D$1)/$D$2</f>
        <v>-1.049950655</v>
      </c>
      <c r="E27" s="22">
        <f t="shared" si="1"/>
        <v>-0.1444344201</v>
      </c>
      <c r="F27" s="24">
        <f t="shared" si="2"/>
        <v>0.1256343481</v>
      </c>
      <c r="G27" s="24">
        <f t="shared" si="3"/>
        <v>-0.4176753929</v>
      </c>
    </row>
    <row r="28" ht="22.5" customHeight="1">
      <c r="A28" s="21" t="s">
        <v>22</v>
      </c>
      <c r="B28" s="22">
        <f>(fact_metrics!B10-$B$1)/$B$2</f>
        <v>-0.1602954427</v>
      </c>
      <c r="C28" s="22">
        <f>-(fact_metrics!C10-$C$1)/$C$2</f>
        <v>0.4332261905</v>
      </c>
      <c r="D28" s="23">
        <f>-(fact_costs!L10-$D$1)/$D$2</f>
        <v>0.03454713814</v>
      </c>
      <c r="E28" s="22">
        <f t="shared" si="1"/>
        <v>0.1024926286</v>
      </c>
      <c r="F28" s="24">
        <f t="shared" si="2"/>
        <v>0.09659746866</v>
      </c>
      <c r="G28" s="24">
        <f t="shared" si="3"/>
        <v>0.05583017436</v>
      </c>
    </row>
    <row r="29" ht="22.5" customHeight="1">
      <c r="A29" s="21" t="s">
        <v>19</v>
      </c>
      <c r="B29" s="22">
        <f>(fact_metrics!B7-$B$1)/$B$2</f>
        <v>1.01520447</v>
      </c>
      <c r="C29" s="22">
        <f>-(fact_metrics!C7-$C$1)/$C$2</f>
        <v>-1.064805529</v>
      </c>
      <c r="D29" s="23">
        <f>-(fact_costs!L7-$D$1)/$D$2</f>
        <v>-1.251693155</v>
      </c>
      <c r="E29" s="22">
        <f t="shared" si="1"/>
        <v>-0.4337647381</v>
      </c>
      <c r="F29" s="24">
        <f t="shared" si="2"/>
        <v>-0.04348929208</v>
      </c>
      <c r="G29" s="24">
        <f t="shared" si="3"/>
        <v>-0.5342463424</v>
      </c>
    </row>
    <row r="30" ht="22.5" customHeight="1">
      <c r="A30" s="21" t="s">
        <v>51</v>
      </c>
      <c r="B30" s="22">
        <f>(fact_metrics!B27-$B$1)/$B$2</f>
        <v>0.5877499565</v>
      </c>
      <c r="C30" s="22">
        <f>-(fact_metrics!C27-$C$1)/$C$2</f>
        <v>-0.6867172177</v>
      </c>
      <c r="D30" s="23">
        <f>-(fact_costs!L27-$D$1)/$D$2</f>
        <v>-0.6288519396</v>
      </c>
      <c r="E30" s="22">
        <f t="shared" si="1"/>
        <v>-0.2426064002</v>
      </c>
      <c r="F30" s="24">
        <f t="shared" si="2"/>
        <v>-0.04369710275</v>
      </c>
      <c r="G30" s="24">
        <f t="shared" si="3"/>
        <v>-0.2754444264</v>
      </c>
    </row>
    <row r="31" ht="22.5" customHeight="1">
      <c r="A31" s="21" t="s">
        <v>24</v>
      </c>
      <c r="B31" s="22">
        <f>(fact_metrics!B12-$B$1)/$B$2</f>
        <v>-0.1068636285</v>
      </c>
      <c r="C31" s="22">
        <f>-(fact_metrics!C12-$C$1)/$C$2</f>
        <v>0.7869679064</v>
      </c>
      <c r="D31" s="23">
        <f>-(fact_costs!L12-$D$1)/$D$2</f>
        <v>-3.282118947</v>
      </c>
      <c r="E31" s="22">
        <f t="shared" si="1"/>
        <v>-0.8673382231</v>
      </c>
      <c r="F31" s="24">
        <f t="shared" si="2"/>
        <v>-0.06685654641</v>
      </c>
      <c r="G31" s="24">
        <f t="shared" si="3"/>
        <v>-1.515724981</v>
      </c>
    </row>
    <row r="32" ht="22.5" customHeight="1">
      <c r="A32" s="21" t="s">
        <v>72</v>
      </c>
      <c r="B32" s="22">
        <f>(fact_metrics!B48-$B$1)/$B$2</f>
        <v>0.1602954427</v>
      </c>
      <c r="C32" s="22">
        <f>-(fact_metrics!C48-$C$1)/$C$2</f>
        <v>0.01074114522</v>
      </c>
      <c r="D32" s="23">
        <f>-(fact_costs!L48-$D$1)/$D$2</f>
        <v>-1.560686824</v>
      </c>
      <c r="E32" s="22">
        <f t="shared" si="1"/>
        <v>-0.4632167454</v>
      </c>
      <c r="F32" s="24">
        <f t="shared" si="2"/>
        <v>-0.07162450297</v>
      </c>
      <c r="G32" s="24">
        <f t="shared" si="3"/>
        <v>-0.7301065502</v>
      </c>
    </row>
    <row r="33" ht="22.5" customHeight="1">
      <c r="A33" s="21" t="s">
        <v>23</v>
      </c>
      <c r="B33" s="22">
        <f>(fact_metrics!B11-$B$1)/$B$2</f>
        <v>-0.3205908854</v>
      </c>
      <c r="C33" s="22">
        <f>-(fact_metrics!C11-$C$1)/$C$2</f>
        <v>0.01360545061</v>
      </c>
      <c r="D33" s="23">
        <f>-(fact_costs!L11-$D$1)/$D$2</f>
        <v>0.6432042128</v>
      </c>
      <c r="E33" s="22">
        <f t="shared" si="1"/>
        <v>0.112072926</v>
      </c>
      <c r="F33" s="24">
        <f t="shared" si="2"/>
        <v>-0.09053284117</v>
      </c>
      <c r="G33" s="24">
        <f t="shared" si="3"/>
        <v>0.2281459309</v>
      </c>
    </row>
    <row r="34" ht="22.5" customHeight="1">
      <c r="A34" s="21" t="s">
        <v>58</v>
      </c>
      <c r="B34" s="22">
        <f>(fact_metrics!B34-$B$1)/$B$2</f>
        <v>-0.05343181423</v>
      </c>
      <c r="C34" s="22">
        <f>-(fact_metrics!C34-$C$1)/$C$2</f>
        <v>-0.3451487997</v>
      </c>
      <c r="D34" s="23">
        <f>-(fact_costs!L34-$D$1)/$D$2</f>
        <v>0.471784397</v>
      </c>
      <c r="E34" s="22">
        <f t="shared" si="1"/>
        <v>0.02440126104</v>
      </c>
      <c r="F34" s="24">
        <f t="shared" si="2"/>
        <v>-0.1175969873</v>
      </c>
      <c r="G34" s="24">
        <f t="shared" si="3"/>
        <v>0.1508328943</v>
      </c>
    </row>
    <row r="35" ht="22.5" customHeight="1">
      <c r="A35" s="21" t="s">
        <v>29</v>
      </c>
      <c r="B35" s="22">
        <f>(fact_metrics!B17-$B$1)/$B$2</f>
        <v>-0.2671590712</v>
      </c>
      <c r="C35" s="22">
        <f>-(fact_metrics!C17-$C$1)/$C$2</f>
        <v>-0.7955608225</v>
      </c>
      <c r="D35" s="23">
        <f>-(fact_costs!L17-$D$1)/$D$2</f>
        <v>0.9906808644</v>
      </c>
      <c r="E35" s="22">
        <f t="shared" si="1"/>
        <v>-0.02401300975</v>
      </c>
      <c r="F35" s="24">
        <f t="shared" si="2"/>
        <v>-0.3527357782</v>
      </c>
      <c r="G35" s="24">
        <f t="shared" si="3"/>
        <v>0.2560805464</v>
      </c>
    </row>
    <row r="36" ht="22.5" customHeight="1">
      <c r="A36" s="21" t="s">
        <v>57</v>
      </c>
      <c r="B36" s="22">
        <f>(fact_metrics!B33-$B$1)/$B$2</f>
        <v>-0.3740226996</v>
      </c>
      <c r="C36" s="22">
        <f>-(fact_metrics!C33-$C$1)/$C$2</f>
        <v>-0.376656159</v>
      </c>
      <c r="D36" s="23">
        <f>-(fact_costs!L33-$D$1)/$D$2</f>
        <v>-0.3541513368</v>
      </c>
      <c r="E36" s="22">
        <f t="shared" si="1"/>
        <v>-0.3682767318</v>
      </c>
      <c r="F36" s="24">
        <f t="shared" si="2"/>
        <v>-0.3730889471</v>
      </c>
      <c r="G36" s="24">
        <f t="shared" si="3"/>
        <v>-0.3646137101</v>
      </c>
    </row>
    <row r="37" ht="22.5" customHeight="1">
      <c r="A37" s="21" t="s">
        <v>68</v>
      </c>
      <c r="B37" s="22">
        <f>(fact_metrics!B44-$B$1)/$B$2</f>
        <v>-0.5343181423</v>
      </c>
      <c r="C37" s="22">
        <f>-(fact_metrics!C44-$C$1)/$C$2</f>
        <v>-0.442535183</v>
      </c>
      <c r="D37" s="23">
        <f>-(fact_costs!L44-$D$1)/$D$2</f>
        <v>0.5884943369</v>
      </c>
      <c r="E37" s="22">
        <f t="shared" si="1"/>
        <v>-0.1294529961</v>
      </c>
      <c r="F37" s="24">
        <f t="shared" si="2"/>
        <v>-0.3853237107</v>
      </c>
      <c r="G37" s="24">
        <f t="shared" si="3"/>
        <v>0.04544468915</v>
      </c>
    </row>
    <row r="38" ht="22.5" customHeight="1">
      <c r="A38" s="21" t="s">
        <v>65</v>
      </c>
      <c r="B38" s="22">
        <f>(fact_metrics!B41-$B$1)/$B$2</f>
        <v>-0.4808863281</v>
      </c>
      <c r="C38" s="22">
        <f>-(fact_metrics!C41-$C$1)/$C$2</f>
        <v>-0.7812392956</v>
      </c>
      <c r="D38" s="23">
        <f>-(fact_costs!L41-$D$1)/$D$2</f>
        <v>0.5991766175</v>
      </c>
      <c r="E38" s="22">
        <f t="shared" si="1"/>
        <v>-0.220983002</v>
      </c>
      <c r="F38" s="24">
        <f t="shared" si="2"/>
        <v>-0.4930212205</v>
      </c>
      <c r="G38" s="24">
        <f t="shared" si="3"/>
        <v>-0.0009254487714</v>
      </c>
    </row>
    <row r="39" ht="22.5" customHeight="1">
      <c r="A39" s="21" t="s">
        <v>37</v>
      </c>
      <c r="B39" s="22">
        <f>(fact_metrics!B21-$B$1)/$B$2</f>
        <v>-0.4274545139</v>
      </c>
      <c r="C39" s="22">
        <f>-(fact_metrics!C21-$C$1)/$C$2</f>
        <v>-0.6645188509</v>
      </c>
      <c r="D39" s="23">
        <f>-(fact_costs!L21-$D$1)/$D$2</f>
        <v>-0.4319472543</v>
      </c>
      <c r="E39" s="22">
        <f t="shared" si="1"/>
        <v>-0.5079735397</v>
      </c>
      <c r="F39" s="24">
        <f t="shared" si="2"/>
        <v>-0.5227295227</v>
      </c>
      <c r="G39" s="24">
        <f t="shared" si="3"/>
        <v>-0.4771137515</v>
      </c>
    </row>
    <row r="40" ht="22.5" customHeight="1">
      <c r="A40" s="21" t="s">
        <v>67</v>
      </c>
      <c r="B40" s="22">
        <f>(fact_metrics!B43-$B$1)/$B$2</f>
        <v>0.3205908854</v>
      </c>
      <c r="C40" s="22">
        <f>-(fact_metrics!C43-$C$1)/$C$2</f>
        <v>-1.895454093</v>
      </c>
      <c r="D40" s="23">
        <f>-(fact_costs!L43-$D$1)/$D$2</f>
        <v>0.548404996</v>
      </c>
      <c r="E40" s="22">
        <f t="shared" si="1"/>
        <v>-0.3421527372</v>
      </c>
      <c r="F40" s="24">
        <f t="shared" si="2"/>
        <v>-0.5430456949</v>
      </c>
      <c r="G40" s="24">
        <f t="shared" si="3"/>
        <v>-0.008711054991</v>
      </c>
    </row>
    <row r="41" ht="22.5" customHeight="1">
      <c r="A41" s="21" t="s">
        <v>9</v>
      </c>
      <c r="B41" s="22">
        <f>(fact_metrics!B2-$B$1)/$B$2</f>
        <v>-1.228931727</v>
      </c>
      <c r="C41" s="22">
        <f>-(fact_metrics!C2-$C$1)/$C$2</f>
        <v>-0.2312926604</v>
      </c>
      <c r="D41" s="23">
        <f>-(fact_costs!L2-$D$1)/$D$2</f>
        <v>1.02856414</v>
      </c>
      <c r="E41" s="22">
        <f t="shared" si="1"/>
        <v>-0.1438867491</v>
      </c>
      <c r="F41" s="24">
        <f t="shared" si="2"/>
        <v>-0.6041265138</v>
      </c>
      <c r="G41" s="24">
        <f t="shared" si="3"/>
        <v>0.09934401992</v>
      </c>
    </row>
    <row r="42" ht="22.5" customHeight="1">
      <c r="A42" s="21" t="s">
        <v>47</v>
      </c>
      <c r="B42" s="22">
        <f>(fact_metrics!B23-$B$1)/$B$2</f>
        <v>-0.8014772135</v>
      </c>
      <c r="C42" s="22">
        <f>-(fact_metrics!C23-$C$1)/$C$2</f>
        <v>-0.7640534632</v>
      </c>
      <c r="D42" s="23">
        <f>-(fact_costs!L23-$D$1)/$D$2</f>
        <v>0.7892623132</v>
      </c>
      <c r="E42" s="22">
        <f t="shared" si="1"/>
        <v>-0.2587561212</v>
      </c>
      <c r="F42" s="24">
        <f t="shared" si="2"/>
        <v>-0.6274337607</v>
      </c>
      <c r="G42" s="24">
        <f t="shared" si="3"/>
        <v>0.001377299898</v>
      </c>
    </row>
    <row r="43" ht="22.5" customHeight="1">
      <c r="A43" s="21" t="s">
        <v>50</v>
      </c>
      <c r="B43" s="22">
        <f>(fact_metrics!B26-$B$1)/$B$2</f>
        <v>-0.6411817708</v>
      </c>
      <c r="C43" s="22">
        <f>-(fact_metrics!C26-$C$1)/$C$2</f>
        <v>-0.9624066116</v>
      </c>
      <c r="D43" s="23">
        <f>-(fact_costs!L26-$D$1)/$D$2</f>
        <v>0.4852537088</v>
      </c>
      <c r="E43" s="22">
        <f t="shared" si="1"/>
        <v>-0.3727782245</v>
      </c>
      <c r="F43" s="24">
        <f t="shared" si="2"/>
        <v>-0.6570281592</v>
      </c>
      <c r="G43" s="24">
        <f t="shared" si="3"/>
        <v>-0.1422089992</v>
      </c>
    </row>
    <row r="44" ht="22.5" customHeight="1">
      <c r="A44" s="21" t="s">
        <v>32</v>
      </c>
      <c r="B44" s="22">
        <f>(fact_metrics!B19-$B$1)/$B$2</f>
        <v>-0.4808863281</v>
      </c>
      <c r="C44" s="22">
        <f>-(fact_metrics!C19-$C$1)/$C$2</f>
        <v>-1.376298741</v>
      </c>
      <c r="D44" s="23">
        <f>-(fact_costs!L19-$D$1)/$D$2</f>
        <v>1.041120505</v>
      </c>
      <c r="E44" s="22">
        <f t="shared" si="1"/>
        <v>-0.2720215211</v>
      </c>
      <c r="F44" s="24">
        <f t="shared" si="2"/>
        <v>-0.6868506098</v>
      </c>
      <c r="G44" s="24">
        <f t="shared" si="3"/>
        <v>0.1010346061</v>
      </c>
    </row>
    <row r="45" ht="22.5" customHeight="1">
      <c r="A45" s="21" t="s">
        <v>73</v>
      </c>
      <c r="B45" s="22">
        <f>(fact_metrics!B49-$B$1)/$B$2</f>
        <v>-2.030408941</v>
      </c>
      <c r="C45" s="22">
        <f>-(fact_metrics!C49-$C$1)/$C$2</f>
        <v>0.5642681622</v>
      </c>
      <c r="D45" s="23">
        <f>-(fact_costs!L49-$D$1)/$D$2</f>
        <v>1.01074963</v>
      </c>
      <c r="E45" s="22">
        <f t="shared" si="1"/>
        <v>-0.1517970495</v>
      </c>
      <c r="F45" s="24">
        <f t="shared" si="2"/>
        <v>-0.6884222425</v>
      </c>
      <c r="G45" s="24">
        <f t="shared" si="3"/>
        <v>0.009105765328</v>
      </c>
    </row>
    <row r="46" ht="22.5" customHeight="1">
      <c r="A46" s="21" t="s">
        <v>16</v>
      </c>
      <c r="B46" s="22">
        <f>(fact_metrics!B4-$B$1)/$B$2</f>
        <v>-1.068636285</v>
      </c>
      <c r="C46" s="22">
        <f>-(fact_metrics!C4-$C$1)/$C$2</f>
        <v>-0.6752599961</v>
      </c>
      <c r="D46" s="23">
        <f>-(fact_costs!L4-$D$1)/$D$2</f>
        <v>0.3971904865</v>
      </c>
      <c r="E46" s="22">
        <f t="shared" si="1"/>
        <v>-0.4489019314</v>
      </c>
      <c r="F46" s="24">
        <f t="shared" si="2"/>
        <v>-0.7647030921</v>
      </c>
      <c r="G46" s="24">
        <f t="shared" si="3"/>
        <v>-0.2570476414</v>
      </c>
    </row>
    <row r="47" ht="22.5" customHeight="1">
      <c r="A47" s="21" t="s">
        <v>53</v>
      </c>
      <c r="B47" s="22">
        <f>(fact_metrics!B29-$B$1)/$B$2</f>
        <v>-1.068636285</v>
      </c>
      <c r="C47" s="22">
        <f>-(fact_metrics!C29-$C$1)/$C$2</f>
        <v>-0.5327608029</v>
      </c>
      <c r="D47" s="23">
        <f>-(fact_costs!L29-$D$1)/$D$2</f>
        <v>-0.2312087279</v>
      </c>
      <c r="E47" s="22">
        <f t="shared" si="1"/>
        <v>-0.6108686051</v>
      </c>
      <c r="F47" s="24">
        <f t="shared" si="2"/>
        <v>-0.7705433362</v>
      </c>
      <c r="G47" s="24">
        <f t="shared" si="3"/>
        <v>-0.5427474099</v>
      </c>
    </row>
    <row r="48" ht="22.5" customHeight="1">
      <c r="A48" s="21" t="s">
        <v>62</v>
      </c>
      <c r="B48" s="22">
        <f>(fact_metrics!B38-$B$1)/$B$2</f>
        <v>-1.335795356</v>
      </c>
      <c r="C48" s="22">
        <f>-(fact_metrics!C38-$C$1)/$C$2</f>
        <v>-0.02434659583</v>
      </c>
      <c r="D48" s="23">
        <f>-(fact_costs!L38-$D$1)/$D$2</f>
        <v>-1.101102448</v>
      </c>
      <c r="E48" s="22">
        <f t="shared" si="1"/>
        <v>-0.8204147999</v>
      </c>
      <c r="F48" s="24">
        <f t="shared" si="2"/>
        <v>-0.787746561</v>
      </c>
      <c r="G48" s="24">
        <f t="shared" si="3"/>
        <v>-0.95615915</v>
      </c>
    </row>
    <row r="49" ht="22.5" customHeight="1">
      <c r="A49" s="21" t="s">
        <v>21</v>
      </c>
      <c r="B49" s="22">
        <f>(fact_metrics!B9-$B$1)/$B$2</f>
        <v>-1.549522613</v>
      </c>
      <c r="C49" s="22">
        <f>-(fact_metrics!C9-$C$1)/$C$2</f>
        <v>-0.2377373475</v>
      </c>
      <c r="D49" s="23">
        <f>-(fact_costs!L9-$D$1)/$D$2</f>
        <v>0.1679685556</v>
      </c>
      <c r="E49" s="22">
        <f t="shared" si="1"/>
        <v>-0.5397638015</v>
      </c>
      <c r="F49" s="24">
        <f t="shared" si="2"/>
        <v>-0.8530593898</v>
      </c>
      <c r="G49" s="24">
        <f t="shared" si="3"/>
        <v>-0.4284199755</v>
      </c>
    </row>
    <row r="50" ht="22.5" customHeight="1">
      <c r="A50" s="21" t="s">
        <v>61</v>
      </c>
      <c r="B50" s="22">
        <f>(fact_metrics!B37-$B$1)/$B$2</f>
        <v>-1.656386241</v>
      </c>
      <c r="C50" s="22">
        <f>-(fact_metrics!C37-$C$1)/$C$2</f>
        <v>-0.6817046832</v>
      </c>
      <c r="D50" s="23">
        <f>-(fact_costs!L37-$D$1)/$D$2</f>
        <v>0.833560312</v>
      </c>
      <c r="E50" s="22">
        <f t="shared" si="1"/>
        <v>-0.5015102041</v>
      </c>
      <c r="F50" s="24">
        <f t="shared" si="2"/>
        <v>-1.017518963</v>
      </c>
      <c r="G50" s="24">
        <f t="shared" si="3"/>
        <v>-0.216476653</v>
      </c>
    </row>
    <row r="51" ht="22.5" customHeight="1">
      <c r="A51" s="21" t="s">
        <v>18</v>
      </c>
      <c r="B51" s="22">
        <f>(fact_metrics!B6-$B$1)/$B$2</f>
        <v>-0.8549090277</v>
      </c>
      <c r="C51" s="22">
        <f>-(fact_metrics!C6-$C$1)/$C$2</f>
        <v>-1.134264935</v>
      </c>
      <c r="D51" s="23">
        <f>-(fact_costs!L6-$D$1)/$D$2</f>
        <v>-2.4237562</v>
      </c>
      <c r="E51" s="22">
        <f t="shared" si="1"/>
        <v>-1.470976721</v>
      </c>
      <c r="F51" s="24">
        <f t="shared" si="2"/>
        <v>-1.123536108</v>
      </c>
      <c r="G51" s="24">
        <f t="shared" si="3"/>
        <v>-1.695203795</v>
      </c>
    </row>
    <row r="52" ht="22.5" customHeight="1">
      <c r="A52" s="21" t="s">
        <v>17</v>
      </c>
      <c r="B52" s="22">
        <f>(fact_metrics!B5-$B$1)/$B$2</f>
        <v>-1.228931727</v>
      </c>
      <c r="C52" s="22">
        <f>-(fact_metrics!C5-$C$1)/$C$2</f>
        <v>-1.803080244</v>
      </c>
      <c r="D52" s="23">
        <f>-(fact_costs!L5-$D$1)/$D$2</f>
        <v>0.9607651241</v>
      </c>
      <c r="E52" s="22">
        <f t="shared" si="1"/>
        <v>-0.6904156158</v>
      </c>
      <c r="F52" s="24">
        <f t="shared" si="2"/>
        <v>-1.239621449</v>
      </c>
      <c r="G52" s="24">
        <f t="shared" si="3"/>
        <v>-0.248913005</v>
      </c>
    </row>
    <row r="53" ht="22.5" customHeight="1">
      <c r="A53" s="21" t="s">
        <v>13</v>
      </c>
      <c r="B53" s="22">
        <f>(fact_metrics!B3-$B$1)/$B$2</f>
        <v>-2.457863455</v>
      </c>
      <c r="C53" s="22">
        <f>-(fact_metrics!C3-$C$1)/$C$2</f>
        <v>-2.83924272</v>
      </c>
      <c r="D53" s="23">
        <f>-(fact_costs!L3-$D$1)/$D$2</f>
        <v>-0.8709836342</v>
      </c>
      <c r="E53" s="22">
        <f t="shared" si="1"/>
        <v>-2.056029936</v>
      </c>
      <c r="F53" s="24">
        <f t="shared" si="2"/>
        <v>-2.451727179</v>
      </c>
      <c r="G53" s="24">
        <f t="shared" si="3"/>
        <v>-1.740699397</v>
      </c>
    </row>
    <row r="54" ht="22.5" customHeight="1">
      <c r="A54" s="21" t="s">
        <v>56</v>
      </c>
      <c r="B54" s="22">
        <f>(fact_metrics!B32-$B$1)/$B$2</f>
        <v>-3.099045225</v>
      </c>
      <c r="C54" s="22">
        <f>-(fact_metrics!C32-$C$1)/$C$2</f>
        <v>-2.789117375</v>
      </c>
      <c r="D54" s="23">
        <f>-(fact_costs!L32-$D$1)/$D$2</f>
        <v>0.4446797832</v>
      </c>
      <c r="E54" s="22">
        <f t="shared" si="1"/>
        <v>-1.814494272</v>
      </c>
      <c r="F54" s="24">
        <f t="shared" si="2"/>
        <v>-2.620701584</v>
      </c>
      <c r="G54" s="24">
        <f t="shared" si="3"/>
        <v>-1.265197151</v>
      </c>
    </row>
  </sheetData>
  <conditionalFormatting sqref="B1">
    <cfRule type="cellIs" dxfId="5" priority="1" operator="greaterThan">
      <formula>246</formula>
    </cfRule>
  </conditionalFormatting>
  <dataValidations>
    <dataValidation type="custom" allowBlank="1" showDropDown="1" sqref="B5:D54">
      <formula1>AND(ISNUMBER(B5),(NOT(OR(NOT(ISERROR(DATEVALUE(B5))), AND(ISNUMBER(B5), LEFT(CELL("format", B5))="D")))))</formula1>
    </dataValidation>
  </dataValidations>
  <drawing r:id="rId1"/>
  <tableParts count="1">
    <tablePart r:id="rId3"/>
  </tableParts>
</worksheet>
</file>